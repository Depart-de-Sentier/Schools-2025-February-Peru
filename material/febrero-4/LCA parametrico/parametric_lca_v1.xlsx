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 data" sheetId="1" state="visible" r:id="rId2"/>
    <sheet name="stats_array info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<sst xmlns="http://schemas.openxmlformats.org/spreadsheetml/2006/main" count="311" uniqueCount="72">
  <si>
    <t xml:space="preserve">database</t>
  </si>
  <si>
    <t xml:space="preserve">parametric_LCA_v1</t>
  </si>
  <si>
    <t xml:space="preserve">Activity</t>
  </si>
  <si>
    <t xml:space="preserve">EV production</t>
  </si>
  <si>
    <t xml:space="preserve">location</t>
  </si>
  <si>
    <t xml:space="preserve">CH</t>
  </si>
  <si>
    <t xml:space="preserve">production amount</t>
  </si>
  <si>
    <t xml:space="preserve">source</t>
  </si>
  <si>
    <t xml:space="preserve">reference product</t>
  </si>
  <si>
    <t xml:space="preserve">electric vehicle</t>
  </si>
  <si>
    <t xml:space="preserve">type</t>
  </si>
  <si>
    <t xml:space="preserve">process</t>
  </si>
  <si>
    <t xml:space="preserve">unit</t>
  </si>
  <si>
    <t xml:space="preserve">Exchanges</t>
  </si>
  <si>
    <t xml:space="preserve">name</t>
  </si>
  <si>
    <t xml:space="preserve">amount</t>
  </si>
  <si>
    <t xml:space="preserve">categories</t>
  </si>
  <si>
    <t xml:space="preserve">comment</t>
  </si>
  <si>
    <t xml:space="preserve">formula</t>
  </si>
  <si>
    <t xml:space="preserve">uncertainty type</t>
  </si>
  <si>
    <t xml:space="preserve">loc</t>
  </si>
  <si>
    <t xml:space="preserve">scale</t>
  </si>
  <si>
    <t xml:space="preserve">shape</t>
  </si>
  <si>
    <t xml:space="preserve">minimum</t>
  </si>
  <si>
    <t xml:space="preserve">maximum</t>
  </si>
  <si>
    <t xml:space="preserve">production</t>
  </si>
  <si>
    <t xml:space="preserve">economic outflow</t>
  </si>
  <si>
    <t xml:space="preserve">battery manufacturing</t>
  </si>
  <si>
    <t xml:space="preserve">technosphere</t>
  </si>
  <si>
    <t xml:space="preserve">battery</t>
  </si>
  <si>
    <t xml:space="preserve">economic inflow</t>
  </si>
  <si>
    <t xml:space="preserve">market for electricity, high voltage</t>
  </si>
  <si>
    <t xml:space="preserve">kilowatt hour</t>
  </si>
  <si>
    <t xml:space="preserve">electricity, high voltage</t>
  </si>
  <si>
    <t xml:space="preserve">economic inflow - ecoinvent</t>
  </si>
  <si>
    <t xml:space="preserve">driving the EV</t>
  </si>
  <si>
    <t xml:space="preserve">kilometers</t>
  </si>
  <si>
    <t xml:space="preserve">kilometer</t>
  </si>
  <si>
    <t xml:space="preserve">Parameters</t>
  </si>
  <si>
    <t xml:space="preserve">ev_group</t>
  </si>
  <si>
    <t xml:space="preserve">comment formula</t>
  </si>
  <si>
    <t xml:space="preserve">electricity_consumption</t>
  </si>
  <si>
    <t xml:space="preserve">kWh/km</t>
  </si>
  <si>
    <t xml:space="preserve">economic outflow - Vehicle lifespan: 160000km</t>
  </si>
  <si>
    <t xml:space="preserve">ICEV production</t>
  </si>
  <si>
    <t xml:space="preserve">diesel vehicle</t>
  </si>
  <si>
    <t xml:space="preserve">diesel supply</t>
  </si>
  <si>
    <t xml:space="preserve">diesel</t>
  </si>
  <si>
    <t xml:space="preserve">kilogram</t>
  </si>
  <si>
    <t xml:space="preserve">Methane, fossil</t>
  </si>
  <si>
    <t xml:space="preserve">air</t>
  </si>
  <si>
    <t xml:space="preserve">biosphere</t>
  </si>
  <si>
    <t xml:space="preserve">environmental outflow</t>
  </si>
  <si>
    <t xml:space="preserve">Dinitrogen monoxide</t>
  </si>
  <si>
    <t xml:space="preserve">driving the ICEV</t>
  </si>
  <si>
    <t xml:space="preserve">icev_group</t>
  </si>
  <si>
    <t xml:space="preserve">diesel_consumption</t>
  </si>
  <si>
    <t xml:space="preserve">kg/km</t>
  </si>
  <si>
    <t xml:space="preserve">urban_driving</t>
  </si>
  <si>
    <t xml:space="preserve">[-]</t>
  </si>
  <si>
    <t xml:space="preserve">Time fraction driven in an urban environment</t>
  </si>
  <si>
    <t xml:space="preserve">co2_diesel</t>
  </si>
  <si>
    <t xml:space="preserve">kg/kg</t>
  </si>
  <si>
    <t xml:space="preserve">n2o_diesel</t>
  </si>
  <si>
    <t xml:space="preserve">pm25_diesel</t>
  </si>
  <si>
    <t xml:space="preserve">economic inflow - Vehicle lifespan: 160000km</t>
  </si>
  <si>
    <t xml:space="preserve">Carbon dioxide, fossil</t>
  </si>
  <si>
    <t xml:space="preserve">Particulate Matter, &lt; 2.5 um</t>
  </si>
  <si>
    <t xml:space="preserve">air::urban air close to ground</t>
  </si>
  <si>
    <t xml:space="preserve">air::non-urban air or from high stacks</t>
  </si>
  <si>
    <t xml:space="preserve">skip</t>
  </si>
  <si>
    <t xml:space="preserve">https://stats-arrays.readthedocs.io/en/latest/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</si>
</sst>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General"/>
    <numFmt numFmtId="167" formatCode="0.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i val="true"/>
      <sz val="12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DBDBDB"/>
        <bgColor rgb="FFDAE3F3"/>
      </patternFill>
    </fill>
    <fill>
      <patternFill patternType="solid">
        <fgColor rgb="FFDAE3F3"/>
        <bgColor rgb="FFDBDBDB"/>
      </patternFill>
    </fill>
    <fill>
      <patternFill patternType="solid">
        <fgColor rgb="FFFBE5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AE3F3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76320</xdr:colOff>
      <xdr:row>0</xdr:row>
      <xdr:rowOff>0</xdr:rowOff>
    </xdr:from>
    <xdr:to>
      <xdr:col>16</xdr:col>
      <xdr:colOff>429120</xdr:colOff>
      <xdr:row>34</xdr:row>
      <xdr:rowOff>114840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3749040" y="0"/>
          <a:ext cx="6474240" cy="659196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58"/>
  <sheetViews>
    <sheetView showFormulas="false" showGridLines="true" showRowColHeaders="true" showZeros="true" rightToLeft="false" tabSelected="true" showOutlineSymbols="true" defaultGridColor="true" view="normal" topLeftCell="A1" colorId="64" zoomScale="91" zoomScaleNormal="91" zoomScalePageLayoutView="100" workbookViewId="0">
      <selection pane="topLeft" activeCell="E82" activeCellId="0" sqref="E82:E87"/>
    </sheetView>
  </sheetViews>
  <sheetFormatPr defaultColWidth="12.58984375" defaultRowHeight="15.75" zeroHeight="false" outlineLevelRow="0" outlineLevelCol="0"/>
  <cols>
    <col collapsed="false" customWidth="true" hidden="false" outlineLevel="0" max="1" min="1" style="1" width="63.42"/>
    <col collapsed="false" customWidth="true" hidden="false" outlineLevel="0" max="2" min="2" style="1" width="19.85"/>
    <col collapsed="false" customWidth="false" hidden="false" outlineLevel="0" max="3" min="3" style="1" width="12.57"/>
    <col collapsed="false" customWidth="true" hidden="false" outlineLevel="0" max="4" min="4" style="1" width="44.71"/>
    <col collapsed="false" customWidth="true" hidden="false" outlineLevel="0" max="5" min="5" style="1" width="37.14"/>
    <col collapsed="false" customWidth="true" hidden="false" outlineLevel="0" max="6" min="6" style="1" width="11.98"/>
    <col collapsed="false" customWidth="true" hidden="false" outlineLevel="0" max="7" min="7" style="1" width="53.42"/>
    <col collapsed="false" customWidth="true" hidden="false" outlineLevel="0" max="8" min="8" style="1" width="77"/>
    <col collapsed="false" customWidth="false" hidden="false" outlineLevel="0" max="16" min="9" style="2" width="12.57"/>
    <col collapsed="false" customWidth="false" hidden="false" outlineLevel="0" max="1024" min="17" style="1" width="12.57"/>
  </cols>
  <sheetData>
    <row r="1" customFormat="false" ht="15.75" hidden="false" customHeight="false" outlineLevel="0" collapsed="false">
      <c r="A1" s="3" t="s">
        <v>0</v>
      </c>
      <c r="B1" s="3" t="s">
        <v>1</v>
      </c>
      <c r="C1" s="4"/>
      <c r="D1" s="4"/>
      <c r="E1" s="4"/>
      <c r="F1" s="4"/>
      <c r="G1" s="4"/>
      <c r="H1" s="4"/>
    </row>
    <row r="2" customFormat="false" ht="15.75" hidden="false" customHeight="false" outlineLevel="0" collapsed="false">
      <c r="A2" s="4"/>
      <c r="B2" s="4"/>
      <c r="C2" s="4"/>
      <c r="D2" s="4"/>
      <c r="E2" s="4"/>
      <c r="F2" s="4"/>
      <c r="G2" s="4"/>
      <c r="H2" s="4"/>
    </row>
    <row r="3" customFormat="false" ht="15.75" hidden="false" customHeight="false" outlineLevel="0" collapsed="false">
      <c r="F3" s="5"/>
    </row>
    <row r="4" customFormat="false" ht="15.75" hidden="false" customHeight="false" outlineLevel="0" collapsed="false">
      <c r="A4" s="6" t="s">
        <v>2</v>
      </c>
      <c r="B4" s="6" t="s">
        <v>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15.75" hidden="false" customHeight="false" outlineLevel="0" collapsed="false">
      <c r="A5" s="7" t="s">
        <v>4</v>
      </c>
      <c r="B5" s="7" t="s">
        <v>5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customFormat="false" ht="15.75" hidden="false" customHeight="false" outlineLevel="0" collapsed="false">
      <c r="A6" s="7" t="s">
        <v>6</v>
      </c>
      <c r="B6" s="7" t="n">
        <v>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customFormat="false" ht="15.75" hidden="false" customHeight="false" outlineLevel="0" collapsed="false">
      <c r="A7" s="7" t="s">
        <v>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customFormat="false" ht="15.75" hidden="false" customHeight="false" outlineLevel="0" collapsed="false">
      <c r="A8" s="7" t="s">
        <v>8</v>
      </c>
      <c r="B8" s="7" t="s">
        <v>9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customFormat="false" ht="15.75" hidden="false" customHeight="false" outlineLevel="0" collapsed="false">
      <c r="A9" s="7" t="s">
        <v>10</v>
      </c>
      <c r="B9" s="7" t="s">
        <v>11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customFormat="false" ht="15.75" hidden="false" customHeight="false" outlineLevel="0" collapsed="false">
      <c r="A10" s="7" t="s">
        <v>12</v>
      </c>
      <c r="B10" s="7" t="s">
        <v>12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customFormat="false" ht="15.75" hidden="false" customHeight="false" outlineLevel="0" collapsed="false">
      <c r="A11" s="6" t="s">
        <v>13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customFormat="false" ht="15.75" hidden="false" customHeight="false" outlineLevel="0" collapsed="false">
      <c r="A12" s="6" t="s">
        <v>14</v>
      </c>
      <c r="B12" s="6" t="s">
        <v>15</v>
      </c>
      <c r="C12" s="6" t="s">
        <v>4</v>
      </c>
      <c r="D12" s="6" t="s">
        <v>12</v>
      </c>
      <c r="E12" s="6" t="s">
        <v>16</v>
      </c>
      <c r="F12" s="6" t="s">
        <v>10</v>
      </c>
      <c r="G12" s="6" t="s">
        <v>8</v>
      </c>
      <c r="H12" s="6" t="s">
        <v>17</v>
      </c>
      <c r="I12" s="6" t="s">
        <v>18</v>
      </c>
      <c r="J12" s="6" t="s">
        <v>19</v>
      </c>
      <c r="K12" s="6" t="s">
        <v>20</v>
      </c>
      <c r="L12" s="6" t="s">
        <v>21</v>
      </c>
      <c r="M12" s="6" t="s">
        <v>22</v>
      </c>
      <c r="N12" s="6" t="s">
        <v>23</v>
      </c>
      <c r="O12" s="6" t="s">
        <v>24</v>
      </c>
    </row>
    <row r="13" customFormat="false" ht="15.75" hidden="false" customHeight="false" outlineLevel="0" collapsed="false">
      <c r="A13" s="7" t="str">
        <f aca="false">B4</f>
        <v>EV production</v>
      </c>
      <c r="B13" s="7" t="n">
        <v>1</v>
      </c>
      <c r="C13" s="7" t="str">
        <f aca="false">B5</f>
        <v>CH</v>
      </c>
      <c r="D13" s="7" t="str">
        <f aca="false">B10</f>
        <v>unit</v>
      </c>
      <c r="E13" s="7"/>
      <c r="F13" s="7" t="s">
        <v>25</v>
      </c>
      <c r="G13" s="7" t="str">
        <f aca="false">B8</f>
        <v>electric vehicle</v>
      </c>
      <c r="H13" s="7" t="s">
        <v>26</v>
      </c>
      <c r="I13" s="7"/>
      <c r="J13" s="7"/>
      <c r="K13" s="7"/>
      <c r="L13" s="7"/>
      <c r="M13" s="7"/>
      <c r="N13" s="7"/>
      <c r="O13" s="7"/>
    </row>
    <row r="14" customFormat="false" ht="15.75" hidden="false" customHeight="false" outlineLevel="0" collapsed="false">
      <c r="A14" s="7" t="s">
        <v>27</v>
      </c>
      <c r="B14" s="7" t="n">
        <v>1</v>
      </c>
      <c r="C14" s="7" t="s">
        <v>5</v>
      </c>
      <c r="D14" s="7" t="s">
        <v>12</v>
      </c>
      <c r="E14" s="7"/>
      <c r="F14" s="7" t="s">
        <v>28</v>
      </c>
      <c r="G14" s="7" t="s">
        <v>29</v>
      </c>
      <c r="H14" s="7" t="s">
        <v>30</v>
      </c>
      <c r="I14" s="7"/>
      <c r="J14" s="7"/>
      <c r="K14" s="7"/>
      <c r="L14" s="7"/>
      <c r="M14" s="7"/>
      <c r="N14" s="7"/>
      <c r="O14" s="7"/>
    </row>
    <row r="15" customFormat="false" ht="15.75" hidden="false" customHeight="false" outlineLevel="0" collapsed="false">
      <c r="A15" s="7" t="s">
        <v>31</v>
      </c>
      <c r="B15" s="7" t="n">
        <v>4000</v>
      </c>
      <c r="C15" s="7" t="s">
        <v>5</v>
      </c>
      <c r="D15" s="7" t="s">
        <v>32</v>
      </c>
      <c r="E15" s="7"/>
      <c r="F15" s="7" t="s">
        <v>28</v>
      </c>
      <c r="G15" s="7" t="s">
        <v>33</v>
      </c>
      <c r="H15" s="7" t="s">
        <v>34</v>
      </c>
      <c r="I15" s="7"/>
      <c r="J15" s="7"/>
      <c r="K15" s="7"/>
      <c r="L15" s="7"/>
      <c r="M15" s="7"/>
      <c r="N15" s="7"/>
      <c r="O15" s="7"/>
    </row>
    <row r="16" customFormat="false" ht="15.7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5.75" hidden="false" customHeight="false" outlineLevel="0" collapsed="false">
      <c r="A17" s="8" t="s">
        <v>2</v>
      </c>
      <c r="B17" s="8" t="s">
        <v>27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customFormat="false" ht="15.75" hidden="false" customHeight="false" outlineLevel="0" collapsed="false">
      <c r="A18" s="9" t="s">
        <v>4</v>
      </c>
      <c r="B18" s="9" t="s">
        <v>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customFormat="false" ht="15.75" hidden="false" customHeight="false" outlineLevel="0" collapsed="false">
      <c r="A19" s="9" t="s">
        <v>6</v>
      </c>
      <c r="B19" s="9" t="n">
        <v>1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customFormat="false" ht="15.75" hidden="false" customHeight="false" outlineLevel="0" collapsed="false">
      <c r="A20" s="9" t="s">
        <v>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customFormat="false" ht="15.75" hidden="false" customHeight="false" outlineLevel="0" collapsed="false">
      <c r="A21" s="9" t="s">
        <v>8</v>
      </c>
      <c r="B21" s="9" t="s">
        <v>29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customFormat="false" ht="15.75" hidden="false" customHeight="false" outlineLevel="0" collapsed="false">
      <c r="A22" s="9" t="s">
        <v>10</v>
      </c>
      <c r="B22" s="9" t="s">
        <v>11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customFormat="false" ht="15.75" hidden="false" customHeight="false" outlineLevel="0" collapsed="false">
      <c r="A23" s="9" t="s">
        <v>12</v>
      </c>
      <c r="B23" s="9" t="s">
        <v>12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customFormat="false" ht="15.75" hidden="false" customHeight="false" outlineLevel="0" collapsed="false">
      <c r="A24" s="8" t="s">
        <v>13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customFormat="false" ht="15.75" hidden="false" customHeight="false" outlineLevel="0" collapsed="false">
      <c r="A25" s="8" t="s">
        <v>14</v>
      </c>
      <c r="B25" s="8" t="s">
        <v>15</v>
      </c>
      <c r="C25" s="8" t="s">
        <v>4</v>
      </c>
      <c r="D25" s="8" t="s">
        <v>12</v>
      </c>
      <c r="E25" s="8" t="s">
        <v>16</v>
      </c>
      <c r="F25" s="8" t="s">
        <v>10</v>
      </c>
      <c r="G25" s="8" t="s">
        <v>8</v>
      </c>
      <c r="H25" s="8" t="s">
        <v>17</v>
      </c>
      <c r="I25" s="8" t="s">
        <v>18</v>
      </c>
      <c r="J25" s="8" t="s">
        <v>19</v>
      </c>
      <c r="K25" s="8" t="s">
        <v>20</v>
      </c>
      <c r="L25" s="8" t="s">
        <v>21</v>
      </c>
      <c r="M25" s="8" t="s">
        <v>22</v>
      </c>
      <c r="N25" s="8" t="s">
        <v>23</v>
      </c>
      <c r="O25" s="8" t="s">
        <v>24</v>
      </c>
    </row>
    <row r="26" customFormat="false" ht="15.75" hidden="false" customHeight="false" outlineLevel="0" collapsed="false">
      <c r="A26" s="9" t="str">
        <f aca="false">B17</f>
        <v>battery manufacturing</v>
      </c>
      <c r="B26" s="9" t="n">
        <v>1</v>
      </c>
      <c r="C26" s="9" t="str">
        <f aca="false">B18</f>
        <v>CH</v>
      </c>
      <c r="D26" s="9" t="str">
        <f aca="false">B23</f>
        <v>unit</v>
      </c>
      <c r="E26" s="9"/>
      <c r="F26" s="9" t="s">
        <v>25</v>
      </c>
      <c r="G26" s="9" t="str">
        <f aca="false">B21</f>
        <v>battery</v>
      </c>
      <c r="H26" s="9" t="s">
        <v>26</v>
      </c>
      <c r="I26" s="9"/>
      <c r="J26" s="9"/>
      <c r="K26" s="9"/>
      <c r="L26" s="9"/>
      <c r="M26" s="9"/>
      <c r="N26" s="9"/>
      <c r="O26" s="9"/>
    </row>
    <row r="27" customFormat="false" ht="15.75" hidden="false" customHeight="false" outlineLevel="0" collapsed="false">
      <c r="A27" s="9" t="s">
        <v>31</v>
      </c>
      <c r="B27" s="9" t="n">
        <v>600</v>
      </c>
      <c r="C27" s="9" t="s">
        <v>5</v>
      </c>
      <c r="D27" s="9" t="s">
        <v>32</v>
      </c>
      <c r="E27" s="9"/>
      <c r="F27" s="9" t="s">
        <v>28</v>
      </c>
      <c r="G27" s="9" t="s">
        <v>33</v>
      </c>
      <c r="H27" s="9" t="s">
        <v>34</v>
      </c>
      <c r="I27" s="9"/>
      <c r="J27" s="9"/>
      <c r="K27" s="9"/>
      <c r="L27" s="9"/>
      <c r="M27" s="9"/>
      <c r="N27" s="9"/>
      <c r="O27" s="9"/>
    </row>
    <row r="28" customFormat="false" ht="15.75" hidden="false" customHeight="false" outlineLevel="0" collapsed="false">
      <c r="B28" s="10"/>
    </row>
    <row r="29" customFormat="false" ht="15.75" hidden="false" customHeight="false" outlineLevel="0" collapsed="false">
      <c r="A29" s="6" t="s">
        <v>2</v>
      </c>
      <c r="B29" s="6" t="s">
        <v>35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customFormat="false" ht="15.75" hidden="false" customHeight="false" outlineLevel="0" collapsed="false">
      <c r="A30" s="7" t="s">
        <v>4</v>
      </c>
      <c r="B30" s="7" t="s">
        <v>5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customFormat="false" ht="15.75" hidden="false" customHeight="false" outlineLevel="0" collapsed="false">
      <c r="A31" s="7" t="s">
        <v>6</v>
      </c>
      <c r="B31" s="7" t="n">
        <v>1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customFormat="false" ht="15.75" hidden="false" customHeight="false" outlineLevel="0" collapsed="false">
      <c r="A32" s="7" t="s">
        <v>7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customFormat="false" ht="15.75" hidden="false" customHeight="false" outlineLevel="0" collapsed="false">
      <c r="A33" s="7" t="s">
        <v>8</v>
      </c>
      <c r="B33" s="7" t="s">
        <v>36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customFormat="false" ht="15.75" hidden="false" customHeight="false" outlineLevel="0" collapsed="false">
      <c r="A34" s="7" t="s">
        <v>10</v>
      </c>
      <c r="B34" s="7" t="s">
        <v>11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customFormat="false" ht="15.75" hidden="false" customHeight="false" outlineLevel="0" collapsed="false">
      <c r="A35" s="7" t="s">
        <v>12</v>
      </c>
      <c r="B35" s="11" t="s">
        <v>37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customFormat="false" ht="15.75" hidden="false" customHeight="false" outlineLevel="0" collapsed="false">
      <c r="A36" s="7"/>
      <c r="B36" s="1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customFormat="false" ht="15.75" hidden="false" customHeight="false" outlineLevel="0" collapsed="false">
      <c r="A37" s="6" t="s">
        <v>38</v>
      </c>
      <c r="B37" s="12" t="s">
        <v>39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customFormat="false" ht="15.75" hidden="false" customHeight="false" outlineLevel="0" collapsed="false">
      <c r="A38" s="13" t="s">
        <v>14</v>
      </c>
      <c r="B38" s="13" t="s">
        <v>15</v>
      </c>
      <c r="C38" s="13" t="s">
        <v>12</v>
      </c>
      <c r="D38" s="13" t="s">
        <v>40</v>
      </c>
      <c r="E38" s="13" t="s">
        <v>19</v>
      </c>
      <c r="F38" s="13" t="s">
        <v>20</v>
      </c>
      <c r="G38" s="13" t="s">
        <v>21</v>
      </c>
      <c r="H38" s="13" t="s">
        <v>22</v>
      </c>
      <c r="I38" s="13" t="s">
        <v>23</v>
      </c>
      <c r="J38" s="13" t="s">
        <v>24</v>
      </c>
      <c r="K38" s="7"/>
      <c r="L38" s="7"/>
      <c r="M38" s="7"/>
      <c r="N38" s="7"/>
      <c r="O38" s="7"/>
    </row>
    <row r="39" customFormat="false" ht="15.75" hidden="false" customHeight="false" outlineLevel="0" collapsed="false">
      <c r="A39" s="14" t="s">
        <v>41</v>
      </c>
      <c r="B39" s="14" t="n">
        <v>0.196875</v>
      </c>
      <c r="C39" s="14" t="s">
        <v>42</v>
      </c>
      <c r="D39" s="14"/>
      <c r="E39" s="14" t="n">
        <v>3</v>
      </c>
      <c r="F39" s="14" t="n">
        <v>0.15</v>
      </c>
      <c r="G39" s="14" t="n">
        <v>0.03</v>
      </c>
      <c r="H39" s="14"/>
      <c r="I39" s="13"/>
      <c r="J39" s="13"/>
      <c r="K39" s="7"/>
      <c r="L39" s="7"/>
      <c r="M39" s="7"/>
      <c r="N39" s="7"/>
      <c r="O39" s="7"/>
    </row>
    <row r="40" customFormat="false" ht="15.75" hidden="false" customHeight="false" outlineLevel="0" collapsed="false">
      <c r="A40" s="7"/>
      <c r="B40" s="1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customFormat="false" ht="15.75" hidden="false" customHeight="false" outlineLevel="0" collapsed="false">
      <c r="A41" s="6" t="s">
        <v>13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</row>
    <row r="42" customFormat="false" ht="15.75" hidden="false" customHeight="false" outlineLevel="0" collapsed="false">
      <c r="A42" s="6" t="s">
        <v>14</v>
      </c>
      <c r="B42" s="6" t="s">
        <v>15</v>
      </c>
      <c r="C42" s="6" t="s">
        <v>4</v>
      </c>
      <c r="D42" s="6" t="s">
        <v>12</v>
      </c>
      <c r="E42" s="6" t="s">
        <v>16</v>
      </c>
      <c r="F42" s="6" t="s">
        <v>10</v>
      </c>
      <c r="G42" s="6" t="s">
        <v>8</v>
      </c>
      <c r="H42" s="6" t="s">
        <v>17</v>
      </c>
      <c r="I42" s="6" t="s">
        <v>18</v>
      </c>
      <c r="J42" s="6" t="s">
        <v>19</v>
      </c>
      <c r="K42" s="6" t="s">
        <v>20</v>
      </c>
      <c r="L42" s="6" t="s">
        <v>21</v>
      </c>
      <c r="M42" s="6" t="s">
        <v>22</v>
      </c>
      <c r="N42" s="6" t="s">
        <v>23</v>
      </c>
      <c r="O42" s="6" t="s">
        <v>24</v>
      </c>
    </row>
    <row r="43" customFormat="false" ht="15.75" hidden="false" customHeight="false" outlineLevel="0" collapsed="false">
      <c r="A43" s="7" t="str">
        <f aca="false">B29</f>
        <v>driving the EV</v>
      </c>
      <c r="B43" s="7" t="n">
        <f aca="false">160000/160000</f>
        <v>1</v>
      </c>
      <c r="C43" s="7" t="str">
        <f aca="false">B30</f>
        <v>CH</v>
      </c>
      <c r="D43" s="7" t="str">
        <f aca="false">B35</f>
        <v>kilometer</v>
      </c>
      <c r="E43" s="7"/>
      <c r="F43" s="7" t="s">
        <v>25</v>
      </c>
      <c r="G43" s="7" t="str">
        <f aca="false">B33</f>
        <v>kilometers</v>
      </c>
      <c r="H43" s="7" t="s">
        <v>26</v>
      </c>
      <c r="I43" s="7"/>
      <c r="J43" s="7"/>
      <c r="K43" s="7"/>
      <c r="L43" s="7"/>
      <c r="M43" s="7"/>
      <c r="N43" s="7"/>
      <c r="O43" s="7"/>
    </row>
    <row r="44" customFormat="false" ht="15.75" hidden="false" customHeight="false" outlineLevel="0" collapsed="false">
      <c r="A44" s="7" t="s">
        <v>3</v>
      </c>
      <c r="B44" s="7" t="n">
        <f aca="false">1/160000</f>
        <v>6.25E-006</v>
      </c>
      <c r="C44" s="7" t="s">
        <v>5</v>
      </c>
      <c r="D44" s="7" t="s">
        <v>12</v>
      </c>
      <c r="E44" s="7"/>
      <c r="F44" s="7" t="s">
        <v>28</v>
      </c>
      <c r="G44" s="7" t="s">
        <v>9</v>
      </c>
      <c r="H44" s="7" t="s">
        <v>43</v>
      </c>
      <c r="I44" s="7"/>
      <c r="J44" s="7"/>
      <c r="K44" s="7"/>
      <c r="L44" s="7"/>
      <c r="M44" s="7"/>
      <c r="N44" s="7"/>
      <c r="O44" s="7"/>
    </row>
    <row r="45" customFormat="false" ht="15.75" hidden="false" customHeight="false" outlineLevel="0" collapsed="false">
      <c r="A45" s="7" t="s">
        <v>31</v>
      </c>
      <c r="B45" s="15" t="n">
        <f aca="false">31500/160000</f>
        <v>0.196875</v>
      </c>
      <c r="C45" s="7" t="s">
        <v>5</v>
      </c>
      <c r="D45" s="7" t="s">
        <v>32</v>
      </c>
      <c r="E45" s="7"/>
      <c r="F45" s="7" t="s">
        <v>28</v>
      </c>
      <c r="G45" s="7" t="s">
        <v>33</v>
      </c>
      <c r="H45" s="7" t="s">
        <v>34</v>
      </c>
      <c r="I45" s="7" t="s">
        <v>41</v>
      </c>
      <c r="J45" s="7"/>
      <c r="K45" s="7"/>
      <c r="L45" s="7"/>
      <c r="M45" s="7"/>
      <c r="N45" s="7"/>
      <c r="O45" s="7"/>
    </row>
    <row r="46" customFormat="false" ht="15.75" hidden="false" customHeight="false" outlineLevel="0" collapsed="false">
      <c r="B46" s="10"/>
    </row>
    <row r="47" customFormat="false" ht="15.75" hidden="false" customHeight="false" outlineLevel="0" collapsed="false">
      <c r="A47" s="8" t="s">
        <v>2</v>
      </c>
      <c r="B47" s="8" t="s">
        <v>44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customFormat="false" ht="15.75" hidden="false" customHeight="false" outlineLevel="0" collapsed="false">
      <c r="A48" s="9" t="s">
        <v>4</v>
      </c>
      <c r="B48" s="9" t="s">
        <v>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 customFormat="false" ht="15.75" hidden="false" customHeight="false" outlineLevel="0" collapsed="false">
      <c r="A49" s="9" t="s">
        <v>6</v>
      </c>
      <c r="B49" s="9" t="n">
        <v>1</v>
      </c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 customFormat="false" ht="15.75" hidden="false" customHeight="false" outlineLevel="0" collapsed="false">
      <c r="A50" s="9" t="s">
        <v>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 customFormat="false" ht="15.75" hidden="false" customHeight="false" outlineLevel="0" collapsed="false">
      <c r="A51" s="9" t="s">
        <v>8</v>
      </c>
      <c r="B51" s="9" t="s">
        <v>45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 customFormat="false" ht="15.75" hidden="false" customHeight="false" outlineLevel="0" collapsed="false">
      <c r="A52" s="9" t="s">
        <v>10</v>
      </c>
      <c r="B52" s="9" t="s">
        <v>11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 customFormat="false" ht="15.75" hidden="false" customHeight="false" outlineLevel="0" collapsed="false">
      <c r="A53" s="9" t="s">
        <v>12</v>
      </c>
      <c r="B53" s="9" t="s">
        <v>12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 customFormat="false" ht="15.75" hidden="false" customHeight="false" outlineLevel="0" collapsed="false">
      <c r="A54" s="8" t="s">
        <v>13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 customFormat="false" ht="15.75" hidden="false" customHeight="false" outlineLevel="0" collapsed="false">
      <c r="A55" s="8" t="s">
        <v>14</v>
      </c>
      <c r="B55" s="8" t="s">
        <v>15</v>
      </c>
      <c r="C55" s="8" t="s">
        <v>4</v>
      </c>
      <c r="D55" s="8" t="s">
        <v>12</v>
      </c>
      <c r="E55" s="8" t="s">
        <v>16</v>
      </c>
      <c r="F55" s="8" t="s">
        <v>10</v>
      </c>
      <c r="G55" s="8" t="s">
        <v>8</v>
      </c>
      <c r="H55" s="8" t="s">
        <v>17</v>
      </c>
      <c r="I55" s="8" t="s">
        <v>18</v>
      </c>
      <c r="J55" s="8" t="s">
        <v>19</v>
      </c>
      <c r="K55" s="8" t="s">
        <v>20</v>
      </c>
      <c r="L55" s="8" t="s">
        <v>21</v>
      </c>
      <c r="M55" s="8" t="s">
        <v>22</v>
      </c>
      <c r="N55" s="8" t="s">
        <v>23</v>
      </c>
      <c r="O55" s="8" t="s">
        <v>24</v>
      </c>
    </row>
    <row r="56" customFormat="false" ht="15.75" hidden="false" customHeight="false" outlineLevel="0" collapsed="false">
      <c r="A56" s="9" t="str">
        <f aca="false">B47</f>
        <v>ICEV production</v>
      </c>
      <c r="B56" s="9" t="n">
        <v>1</v>
      </c>
      <c r="C56" s="9" t="str">
        <f aca="false">B48</f>
        <v>CH</v>
      </c>
      <c r="D56" s="9" t="str">
        <f aca="false">B53</f>
        <v>unit</v>
      </c>
      <c r="E56" s="9"/>
      <c r="F56" s="9" t="s">
        <v>25</v>
      </c>
      <c r="G56" s="9" t="str">
        <f aca="false">B51</f>
        <v>diesel vehicle</v>
      </c>
      <c r="H56" s="9" t="s">
        <v>26</v>
      </c>
      <c r="I56" s="9"/>
      <c r="J56" s="9"/>
      <c r="K56" s="9"/>
      <c r="L56" s="9"/>
      <c r="M56" s="9"/>
      <c r="N56" s="9"/>
      <c r="O56" s="9"/>
    </row>
    <row r="57" customFormat="false" ht="15.75" hidden="false" customHeight="false" outlineLevel="0" collapsed="false">
      <c r="A57" s="9" t="s">
        <v>31</v>
      </c>
      <c r="B57" s="9" t="n">
        <v>3000</v>
      </c>
      <c r="C57" s="9" t="s">
        <v>5</v>
      </c>
      <c r="D57" s="9" t="s">
        <v>32</v>
      </c>
      <c r="E57" s="9"/>
      <c r="F57" s="9" t="s">
        <v>28</v>
      </c>
      <c r="G57" s="9" t="s">
        <v>33</v>
      </c>
      <c r="H57" s="9" t="s">
        <v>30</v>
      </c>
      <c r="I57" s="9"/>
      <c r="J57" s="9"/>
      <c r="K57" s="9"/>
      <c r="L57" s="9"/>
      <c r="M57" s="9"/>
      <c r="N57" s="9"/>
      <c r="O57" s="9"/>
    </row>
    <row r="59" customFormat="false" ht="15.75" hidden="false" customHeight="false" outlineLevel="0" collapsed="false">
      <c r="A59" s="6" t="s">
        <v>2</v>
      </c>
      <c r="B59" s="6" t="s">
        <v>46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customFormat="false" ht="15.75" hidden="false" customHeight="false" outlineLevel="0" collapsed="false">
      <c r="A60" s="7" t="s">
        <v>4</v>
      </c>
      <c r="B60" s="7" t="s">
        <v>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customFormat="false" ht="15.75" hidden="false" customHeight="false" outlineLevel="0" collapsed="false">
      <c r="A61" s="7" t="s">
        <v>6</v>
      </c>
      <c r="B61" s="7" t="n">
        <v>1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customFormat="false" ht="15.75" hidden="false" customHeight="false" outlineLevel="0" collapsed="false">
      <c r="A62" s="7" t="s">
        <v>7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customFormat="false" ht="15.75" hidden="false" customHeight="false" outlineLevel="0" collapsed="false">
      <c r="A63" s="7" t="s">
        <v>8</v>
      </c>
      <c r="B63" s="7" t="s">
        <v>47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customFormat="false" ht="15.75" hidden="false" customHeight="false" outlineLevel="0" collapsed="false">
      <c r="A64" s="7" t="s">
        <v>10</v>
      </c>
      <c r="B64" s="7" t="s">
        <v>11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customFormat="false" ht="15.75" hidden="false" customHeight="false" outlineLevel="0" collapsed="false">
      <c r="A65" s="7" t="s">
        <v>12</v>
      </c>
      <c r="B65" s="11" t="s">
        <v>48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customFormat="false" ht="15.75" hidden="false" customHeight="false" outlineLevel="0" collapsed="false">
      <c r="A66" s="6" t="s">
        <v>13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customFormat="false" ht="15.75" hidden="false" customHeight="false" outlineLevel="0" collapsed="false">
      <c r="A67" s="6" t="s">
        <v>14</v>
      </c>
      <c r="B67" s="6" t="s">
        <v>15</v>
      </c>
      <c r="C67" s="6" t="s">
        <v>4</v>
      </c>
      <c r="D67" s="6" t="s">
        <v>12</v>
      </c>
      <c r="E67" s="6" t="s">
        <v>16</v>
      </c>
      <c r="F67" s="6" t="s">
        <v>10</v>
      </c>
      <c r="G67" s="6" t="s">
        <v>8</v>
      </c>
      <c r="H67" s="6" t="s">
        <v>17</v>
      </c>
      <c r="I67" s="6" t="s">
        <v>18</v>
      </c>
      <c r="J67" s="6" t="s">
        <v>19</v>
      </c>
      <c r="K67" s="6" t="s">
        <v>20</v>
      </c>
      <c r="L67" s="6" t="s">
        <v>21</v>
      </c>
      <c r="M67" s="6" t="s">
        <v>22</v>
      </c>
      <c r="N67" s="6" t="s">
        <v>23</v>
      </c>
      <c r="O67" s="6" t="s">
        <v>24</v>
      </c>
    </row>
    <row r="68" customFormat="false" ht="15.75" hidden="false" customHeight="false" outlineLevel="0" collapsed="false">
      <c r="A68" s="7" t="str">
        <f aca="false">B59</f>
        <v>diesel supply</v>
      </c>
      <c r="B68" s="7" t="n">
        <v>1</v>
      </c>
      <c r="C68" s="7" t="str">
        <f aca="false">B60</f>
        <v>CH</v>
      </c>
      <c r="D68" s="7" t="str">
        <f aca="false">B65</f>
        <v>kilogram</v>
      </c>
      <c r="E68" s="7"/>
      <c r="F68" s="7" t="s">
        <v>25</v>
      </c>
      <c r="G68" s="7" t="str">
        <f aca="false">B63</f>
        <v>diesel</v>
      </c>
      <c r="H68" s="7" t="s">
        <v>26</v>
      </c>
      <c r="I68" s="7"/>
      <c r="J68" s="7"/>
      <c r="K68" s="7"/>
      <c r="L68" s="7"/>
      <c r="M68" s="7"/>
      <c r="N68" s="7"/>
      <c r="O68" s="7"/>
    </row>
    <row r="69" customFormat="false" ht="15.75" hidden="false" customHeight="false" outlineLevel="0" collapsed="false">
      <c r="A69" s="7" t="s">
        <v>31</v>
      </c>
      <c r="B69" s="7" t="n">
        <v>0.015</v>
      </c>
      <c r="C69" s="7" t="s">
        <v>5</v>
      </c>
      <c r="D69" s="7" t="s">
        <v>32</v>
      </c>
      <c r="E69" s="7"/>
      <c r="F69" s="7" t="s">
        <v>28</v>
      </c>
      <c r="G69" s="7" t="s">
        <v>33</v>
      </c>
      <c r="H69" s="7" t="s">
        <v>30</v>
      </c>
      <c r="I69" s="7"/>
      <c r="J69" s="7"/>
      <c r="K69" s="7"/>
      <c r="L69" s="7"/>
      <c r="M69" s="7"/>
      <c r="N69" s="7"/>
      <c r="O69" s="7"/>
    </row>
    <row r="70" customFormat="false" ht="15.75" hidden="false" customHeight="false" outlineLevel="0" collapsed="false">
      <c r="A70" s="7" t="s">
        <v>49</v>
      </c>
      <c r="B70" s="16" t="n">
        <v>2E-005</v>
      </c>
      <c r="C70" s="7"/>
      <c r="D70" s="7" t="s">
        <v>48</v>
      </c>
      <c r="E70" s="7" t="s">
        <v>50</v>
      </c>
      <c r="F70" s="7" t="s">
        <v>51</v>
      </c>
      <c r="G70" s="7"/>
      <c r="H70" s="7" t="s">
        <v>52</v>
      </c>
      <c r="I70" s="7"/>
      <c r="J70" s="7"/>
      <c r="K70" s="7"/>
      <c r="L70" s="7"/>
      <c r="M70" s="7"/>
      <c r="N70" s="7"/>
      <c r="O70" s="7"/>
    </row>
    <row r="71" customFormat="false" ht="15.75" hidden="false" customHeight="false" outlineLevel="0" collapsed="false">
      <c r="A71" s="7" t="s">
        <v>53</v>
      </c>
      <c r="B71" s="16" t="n">
        <v>1.5E-006</v>
      </c>
      <c r="C71" s="7"/>
      <c r="D71" s="7" t="s">
        <v>48</v>
      </c>
      <c r="E71" s="7" t="s">
        <v>50</v>
      </c>
      <c r="F71" s="7" t="s">
        <v>51</v>
      </c>
      <c r="G71" s="7"/>
      <c r="H71" s="7" t="s">
        <v>52</v>
      </c>
      <c r="I71" s="7"/>
      <c r="J71" s="7"/>
      <c r="K71" s="7"/>
      <c r="L71" s="7"/>
      <c r="M71" s="7"/>
      <c r="N71" s="7"/>
      <c r="O71" s="7"/>
    </row>
    <row r="72" customFormat="false" ht="15.75" hidden="false" customHeight="false" outlineLevel="0" collapsed="false">
      <c r="A72" s="4"/>
      <c r="B72" s="5"/>
      <c r="H72" s="5"/>
    </row>
    <row r="73" customFormat="false" ht="15.75" hidden="false" customHeight="false" outlineLevel="0" collapsed="false">
      <c r="A73" s="8" t="s">
        <v>2</v>
      </c>
      <c r="B73" s="8" t="s">
        <v>54</v>
      </c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 customFormat="false" ht="15.75" hidden="false" customHeight="false" outlineLevel="0" collapsed="false">
      <c r="A74" s="9" t="s">
        <v>4</v>
      </c>
      <c r="B74" s="9" t="s">
        <v>5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 customFormat="false" ht="15.75" hidden="false" customHeight="false" outlineLevel="0" collapsed="false">
      <c r="A75" s="9" t="s">
        <v>6</v>
      </c>
      <c r="B75" s="9" t="n">
        <v>1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 customFormat="false" ht="15.75" hidden="false" customHeight="false" outlineLevel="0" collapsed="false">
      <c r="A76" s="9" t="s">
        <v>7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customFormat="false" ht="15.75" hidden="false" customHeight="false" outlineLevel="0" collapsed="false">
      <c r="A77" s="9" t="s">
        <v>8</v>
      </c>
      <c r="B77" s="9" t="s">
        <v>36</v>
      </c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 customFormat="false" ht="15.75" hidden="false" customHeight="false" outlineLevel="0" collapsed="false">
      <c r="A78" s="9" t="s">
        <v>10</v>
      </c>
      <c r="B78" s="9" t="s">
        <v>11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 customFormat="false" ht="15.75" hidden="false" customHeight="false" outlineLevel="0" collapsed="false">
      <c r="A79" s="9" t="s">
        <v>12</v>
      </c>
      <c r="B79" s="9" t="s">
        <v>37</v>
      </c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 customFormat="false" ht="15.7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customFormat="false" ht="15.75" hidden="false" customHeight="false" outlineLevel="0" collapsed="false">
      <c r="A81" s="6" t="s">
        <v>38</v>
      </c>
      <c r="B81" s="12" t="s">
        <v>55</v>
      </c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 customFormat="false" ht="15.75" hidden="false" customHeight="false" outlineLevel="0" collapsed="false">
      <c r="A82" s="13" t="s">
        <v>14</v>
      </c>
      <c r="B82" s="13" t="s">
        <v>15</v>
      </c>
      <c r="C82" s="13" t="s">
        <v>12</v>
      </c>
      <c r="D82" s="13" t="s">
        <v>40</v>
      </c>
      <c r="E82" s="13" t="s">
        <v>19</v>
      </c>
      <c r="F82" s="13" t="s">
        <v>20</v>
      </c>
      <c r="G82" s="13" t="s">
        <v>21</v>
      </c>
      <c r="H82" s="13" t="s">
        <v>22</v>
      </c>
      <c r="I82" s="13" t="s">
        <v>23</v>
      </c>
      <c r="J82" s="13" t="s">
        <v>24</v>
      </c>
      <c r="K82" s="9"/>
      <c r="L82" s="9"/>
      <c r="M82" s="9"/>
      <c r="N82" s="9"/>
      <c r="O82" s="9"/>
    </row>
    <row r="83" customFormat="false" ht="15.75" hidden="false" customHeight="false" outlineLevel="0" collapsed="false">
      <c r="A83" s="14" t="s">
        <v>56</v>
      </c>
      <c r="B83" s="14" t="n">
        <v>0.07625</v>
      </c>
      <c r="C83" s="14" t="s">
        <v>57</v>
      </c>
      <c r="D83" s="14"/>
      <c r="E83" s="14" t="n">
        <v>3</v>
      </c>
      <c r="F83" s="14" t="n">
        <v>0.06</v>
      </c>
      <c r="G83" s="14" t="n">
        <v>0.02</v>
      </c>
      <c r="H83" s="14"/>
      <c r="I83" s="13"/>
      <c r="J83" s="13"/>
      <c r="K83" s="9"/>
      <c r="L83" s="9"/>
      <c r="M83" s="9"/>
      <c r="N83" s="9"/>
      <c r="O83" s="9"/>
    </row>
    <row r="84" customFormat="false" ht="15.75" hidden="false" customHeight="false" outlineLevel="0" collapsed="false">
      <c r="A84" s="14" t="s">
        <v>58</v>
      </c>
      <c r="B84" s="14" t="n">
        <v>0.5</v>
      </c>
      <c r="C84" s="14" t="s">
        <v>59</v>
      </c>
      <c r="D84" s="14" t="s">
        <v>60</v>
      </c>
      <c r="E84" s="14" t="n">
        <v>4</v>
      </c>
      <c r="F84" s="14"/>
      <c r="G84" s="14"/>
      <c r="H84" s="14"/>
      <c r="I84" s="13" t="n">
        <v>0</v>
      </c>
      <c r="J84" s="13" t="n">
        <v>1</v>
      </c>
      <c r="K84" s="9"/>
      <c r="L84" s="9"/>
      <c r="M84" s="9"/>
      <c r="N84" s="9"/>
      <c r="O84" s="9"/>
    </row>
    <row r="85" customFormat="false" ht="15.75" hidden="false" customHeight="false" outlineLevel="0" collapsed="false">
      <c r="A85" s="14" t="s">
        <v>61</v>
      </c>
      <c r="B85" s="17" t="n">
        <v>3.11475409836066</v>
      </c>
      <c r="C85" s="14" t="s">
        <v>62</v>
      </c>
      <c r="D85" s="14"/>
      <c r="E85" s="14" t="n">
        <v>8</v>
      </c>
      <c r="F85" s="14" t="n">
        <v>3</v>
      </c>
      <c r="G85" s="14" t="n">
        <v>3.16</v>
      </c>
      <c r="H85" s="14" t="n">
        <v>2</v>
      </c>
      <c r="I85" s="13"/>
      <c r="J85" s="13"/>
      <c r="K85" s="9"/>
      <c r="L85" s="9"/>
      <c r="M85" s="9"/>
      <c r="N85" s="9"/>
      <c r="O85" s="9"/>
    </row>
    <row r="86" customFormat="false" ht="15.75" hidden="false" customHeight="false" outlineLevel="0" collapsed="false">
      <c r="A86" s="14" t="s">
        <v>63</v>
      </c>
      <c r="B86" s="18" t="n">
        <v>6.55737704918033E-007</v>
      </c>
      <c r="C86" s="14" t="s">
        <v>62</v>
      </c>
      <c r="D86" s="14"/>
      <c r="E86" s="14" t="n">
        <v>2</v>
      </c>
      <c r="F86" s="14" t="n">
        <v>-7</v>
      </c>
      <c r="G86" s="14" t="n">
        <v>0.05</v>
      </c>
      <c r="H86" s="14"/>
      <c r="I86" s="13"/>
      <c r="J86" s="13"/>
      <c r="K86" s="9"/>
      <c r="L86" s="9"/>
      <c r="M86" s="9"/>
      <c r="N86" s="9"/>
      <c r="O86" s="9"/>
    </row>
    <row r="87" customFormat="false" ht="15.75" hidden="false" customHeight="false" outlineLevel="0" collapsed="false">
      <c r="A87" s="14" t="s">
        <v>64</v>
      </c>
      <c r="B87" s="18" t="n">
        <v>0.0015</v>
      </c>
      <c r="C87" s="14" t="s">
        <v>62</v>
      </c>
      <c r="D87" s="14"/>
      <c r="E87" s="14" t="n">
        <v>5</v>
      </c>
      <c r="F87" s="14"/>
      <c r="G87" s="14" t="n">
        <v>0.0015</v>
      </c>
      <c r="H87" s="14"/>
      <c r="I87" s="13" t="n">
        <v>0.0005</v>
      </c>
      <c r="J87" s="13" t="n">
        <v>0.003</v>
      </c>
      <c r="K87" s="9"/>
      <c r="L87" s="9"/>
      <c r="M87" s="9"/>
      <c r="N87" s="9"/>
      <c r="O87" s="9"/>
    </row>
    <row r="88" customFormat="false" ht="15.7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customFormat="false" ht="15.75" hidden="false" customHeight="false" outlineLevel="0" collapsed="false">
      <c r="A89" s="8" t="s">
        <v>13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customFormat="false" ht="15.75" hidden="false" customHeight="false" outlineLevel="0" collapsed="false">
      <c r="A90" s="8" t="s">
        <v>14</v>
      </c>
      <c r="B90" s="8" t="s">
        <v>15</v>
      </c>
      <c r="C90" s="8" t="s">
        <v>4</v>
      </c>
      <c r="D90" s="8" t="s">
        <v>12</v>
      </c>
      <c r="E90" s="8" t="s">
        <v>16</v>
      </c>
      <c r="F90" s="8" t="s">
        <v>10</v>
      </c>
      <c r="G90" s="8" t="s">
        <v>8</v>
      </c>
      <c r="H90" s="8" t="s">
        <v>17</v>
      </c>
      <c r="I90" s="8" t="s">
        <v>18</v>
      </c>
      <c r="J90" s="8" t="s">
        <v>19</v>
      </c>
      <c r="K90" s="8" t="s">
        <v>20</v>
      </c>
      <c r="L90" s="8" t="s">
        <v>21</v>
      </c>
      <c r="M90" s="8" t="s">
        <v>22</v>
      </c>
      <c r="N90" s="8" t="s">
        <v>23</v>
      </c>
      <c r="O90" s="8" t="s">
        <v>24</v>
      </c>
    </row>
    <row r="91" customFormat="false" ht="15.75" hidden="false" customHeight="false" outlineLevel="0" collapsed="false">
      <c r="A91" s="9" t="str">
        <f aca="false">B73</f>
        <v>driving the ICEV</v>
      </c>
      <c r="B91" s="9" t="n">
        <f aca="false">160000/160000</f>
        <v>1</v>
      </c>
      <c r="C91" s="9" t="str">
        <f aca="false">B74</f>
        <v>CH</v>
      </c>
      <c r="D91" s="9" t="str">
        <f aca="false">B79</f>
        <v>kilometer</v>
      </c>
      <c r="E91" s="9"/>
      <c r="F91" s="9" t="s">
        <v>25</v>
      </c>
      <c r="G91" s="9" t="str">
        <f aca="false">B77</f>
        <v>kilometers</v>
      </c>
      <c r="H91" s="9" t="s">
        <v>26</v>
      </c>
      <c r="I91" s="9"/>
      <c r="J91" s="9"/>
      <c r="K91" s="9"/>
      <c r="L91" s="9"/>
      <c r="M91" s="9"/>
      <c r="N91" s="9"/>
      <c r="O91" s="9"/>
    </row>
    <row r="92" customFormat="false" ht="15.75" hidden="false" customHeight="false" outlineLevel="0" collapsed="false">
      <c r="A92" s="9" t="s">
        <v>44</v>
      </c>
      <c r="B92" s="9" t="n">
        <f aca="false">1/160000</f>
        <v>6.25E-006</v>
      </c>
      <c r="C92" s="9" t="s">
        <v>5</v>
      </c>
      <c r="D92" s="9" t="s">
        <v>12</v>
      </c>
      <c r="E92" s="9"/>
      <c r="F92" s="9" t="s">
        <v>28</v>
      </c>
      <c r="G92" s="9" t="s">
        <v>45</v>
      </c>
      <c r="H92" s="9" t="s">
        <v>65</v>
      </c>
      <c r="I92" s="9"/>
      <c r="J92" s="9"/>
      <c r="K92" s="9"/>
      <c r="L92" s="9"/>
      <c r="M92" s="9"/>
      <c r="N92" s="9"/>
      <c r="O92" s="9"/>
    </row>
    <row r="93" customFormat="false" ht="15.75" hidden="false" customHeight="false" outlineLevel="0" collapsed="false">
      <c r="A93" s="9" t="s">
        <v>46</v>
      </c>
      <c r="B93" s="19" t="n">
        <f aca="false">12200/160000</f>
        <v>0.07625</v>
      </c>
      <c r="C93" s="9" t="s">
        <v>5</v>
      </c>
      <c r="D93" s="9" t="s">
        <v>48</v>
      </c>
      <c r="E93" s="9"/>
      <c r="F93" s="9" t="s">
        <v>28</v>
      </c>
      <c r="G93" s="9" t="s">
        <v>47</v>
      </c>
      <c r="H93" s="9" t="s">
        <v>30</v>
      </c>
      <c r="I93" s="9"/>
      <c r="J93" s="9"/>
      <c r="K93" s="9"/>
      <c r="L93" s="9"/>
      <c r="M93" s="9"/>
      <c r="N93" s="9"/>
      <c r="O93" s="9"/>
    </row>
    <row r="94" customFormat="false" ht="15.75" hidden="false" customHeight="false" outlineLevel="0" collapsed="false">
      <c r="A94" s="9" t="s">
        <v>66</v>
      </c>
      <c r="B94" s="20" t="n">
        <f aca="false">38000/160000</f>
        <v>0.2375</v>
      </c>
      <c r="C94" s="9"/>
      <c r="D94" s="9" t="s">
        <v>48</v>
      </c>
      <c r="E94" s="9" t="s">
        <v>50</v>
      </c>
      <c r="F94" s="9" t="s">
        <v>51</v>
      </c>
      <c r="G94" s="9"/>
      <c r="H94" s="9" t="s">
        <v>52</v>
      </c>
      <c r="I94" s="9"/>
      <c r="J94" s="9"/>
      <c r="K94" s="9"/>
      <c r="L94" s="9"/>
      <c r="M94" s="9"/>
      <c r="N94" s="9"/>
      <c r="O94" s="9"/>
    </row>
    <row r="95" customFormat="false" ht="15.75" hidden="false" customHeight="false" outlineLevel="0" collapsed="false">
      <c r="A95" s="9" t="s">
        <v>53</v>
      </c>
      <c r="B95" s="20" t="n">
        <f aca="false">0.008/160000</f>
        <v>5E-008</v>
      </c>
      <c r="C95" s="9"/>
      <c r="D95" s="9" t="s">
        <v>48</v>
      </c>
      <c r="E95" s="9" t="s">
        <v>50</v>
      </c>
      <c r="F95" s="9" t="s">
        <v>51</v>
      </c>
      <c r="G95" s="9"/>
      <c r="H95" s="9" t="s">
        <v>52</v>
      </c>
      <c r="I95" s="9"/>
      <c r="J95" s="9"/>
      <c r="K95" s="9"/>
      <c r="L95" s="9"/>
      <c r="M95" s="9"/>
      <c r="N95" s="9"/>
      <c r="O95" s="9"/>
    </row>
    <row r="96" customFormat="false" ht="15.75" hidden="false" customHeight="false" outlineLevel="0" collapsed="false">
      <c r="A96" s="19" t="s">
        <v>67</v>
      </c>
      <c r="B96" s="20" t="n">
        <f aca="false">B93*0.0015</f>
        <v>0.000114375</v>
      </c>
      <c r="C96" s="19"/>
      <c r="D96" s="19" t="s">
        <v>48</v>
      </c>
      <c r="E96" s="19" t="s">
        <v>50</v>
      </c>
      <c r="F96" s="19" t="s">
        <v>51</v>
      </c>
      <c r="G96" s="19"/>
      <c r="H96" s="19" t="s">
        <v>52</v>
      </c>
      <c r="I96" s="9"/>
      <c r="J96" s="9"/>
      <c r="K96" s="9"/>
      <c r="L96" s="9"/>
      <c r="M96" s="9"/>
      <c r="N96" s="9"/>
      <c r="O96" s="9"/>
    </row>
    <row r="97" customFormat="false" ht="15.75" hidden="false" customHeight="false" outlineLevel="0" collapsed="false">
      <c r="A97" s="9" t="s">
        <v>67</v>
      </c>
      <c r="B97" s="20" t="n">
        <v>0</v>
      </c>
      <c r="C97" s="9"/>
      <c r="D97" s="9" t="s">
        <v>48</v>
      </c>
      <c r="E97" s="9" t="s">
        <v>68</v>
      </c>
      <c r="F97" s="9" t="s">
        <v>51</v>
      </c>
      <c r="G97" s="9"/>
      <c r="H97" s="9" t="s">
        <v>52</v>
      </c>
      <c r="I97" s="9"/>
      <c r="J97" s="9"/>
      <c r="K97" s="9"/>
      <c r="L97" s="9"/>
      <c r="M97" s="9"/>
      <c r="N97" s="9"/>
      <c r="O97" s="9"/>
    </row>
    <row r="98" customFormat="false" ht="15.75" hidden="false" customHeight="false" outlineLevel="0" collapsed="false">
      <c r="A98" s="9" t="s">
        <v>67</v>
      </c>
      <c r="B98" s="20" t="n">
        <v>0</v>
      </c>
      <c r="C98" s="9"/>
      <c r="D98" s="9" t="s">
        <v>48</v>
      </c>
      <c r="E98" s="9" t="s">
        <v>69</v>
      </c>
      <c r="F98" s="9" t="s">
        <v>51</v>
      </c>
      <c r="G98" s="9"/>
      <c r="H98" s="9" t="s">
        <v>52</v>
      </c>
      <c r="I98" s="9"/>
      <c r="J98" s="9"/>
      <c r="K98" s="9"/>
      <c r="L98" s="9"/>
      <c r="M98" s="9"/>
      <c r="N98" s="9"/>
      <c r="O98" s="9"/>
    </row>
    <row r="102" customFormat="false" ht="15.75" hidden="false" customHeight="false" outlineLevel="0" collapsed="false">
      <c r="A102" s="2"/>
      <c r="B102" s="10"/>
    </row>
    <row r="103" customFormat="false" ht="15.7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</row>
    <row r="104" customFormat="false" ht="15.75" hidden="false" customHeight="false" outlineLevel="0" collapsed="false">
      <c r="I104" s="21"/>
    </row>
    <row r="105" customFormat="false" ht="15.75" hidden="false" customHeight="false" outlineLevel="0" collapsed="false">
      <c r="A105" s="5"/>
      <c r="B105" s="5"/>
      <c r="F105" s="5"/>
      <c r="G105" s="5"/>
      <c r="H105" s="5"/>
    </row>
    <row r="106" customFormat="false" ht="15.75" hidden="false" customHeight="false" outlineLevel="0" collapsed="false">
      <c r="A106" s="5"/>
      <c r="B106" s="5"/>
      <c r="F106" s="5"/>
      <c r="G106" s="5"/>
      <c r="H106" s="5"/>
    </row>
    <row r="107" customFormat="false" ht="15.75" hidden="false" customHeight="false" outlineLevel="0" collapsed="false">
      <c r="A107" s="5"/>
      <c r="B107" s="22"/>
      <c r="F107" s="5"/>
      <c r="G107" s="5"/>
      <c r="H107" s="5"/>
    </row>
    <row r="108" customFormat="false" ht="15.75" hidden="false" customHeight="false" outlineLevel="0" collapsed="false">
      <c r="A108" s="5"/>
      <c r="B108" s="22"/>
      <c r="D108" s="5"/>
      <c r="F108" s="5"/>
      <c r="G108" s="5"/>
      <c r="H108" s="5"/>
    </row>
    <row r="109" customFormat="false" ht="15.75" hidden="false" customHeight="false" outlineLevel="0" collapsed="false">
      <c r="B109" s="22"/>
    </row>
    <row r="110" customFormat="false" ht="15.75" hidden="false" customHeight="false" outlineLevel="0" collapsed="false">
      <c r="B110" s="22"/>
      <c r="H110" s="5"/>
    </row>
    <row r="111" customFormat="false" ht="15.75" hidden="false" customHeight="false" outlineLevel="0" collapsed="false">
      <c r="B111" s="22"/>
      <c r="H111" s="5"/>
    </row>
    <row r="112" customFormat="false" ht="15.75" hidden="false" customHeight="false" outlineLevel="0" collapsed="false">
      <c r="B112" s="22"/>
    </row>
    <row r="113" customFormat="false" ht="15.75" hidden="false" customHeight="false" outlineLevel="0" collapsed="false">
      <c r="B113" s="22"/>
      <c r="H113" s="5"/>
    </row>
    <row r="114" customFormat="false" ht="15.75" hidden="false" customHeight="false" outlineLevel="0" collapsed="false">
      <c r="A114" s="5"/>
      <c r="B114" s="5"/>
      <c r="F114" s="5"/>
      <c r="G114" s="5"/>
      <c r="H114" s="5"/>
    </row>
    <row r="115" customFormat="false" ht="15.75" hidden="false" customHeight="false" outlineLevel="0" collapsed="false">
      <c r="B115" s="5"/>
      <c r="H115" s="5"/>
    </row>
    <row r="116" customFormat="false" ht="15.75" hidden="false" customHeight="false" outlineLevel="0" collapsed="false">
      <c r="A116" s="5"/>
      <c r="B116" s="5"/>
      <c r="G116" s="5"/>
      <c r="H116" s="5"/>
    </row>
    <row r="117" customFormat="false" ht="15.75" hidden="false" customHeight="false" outlineLevel="0" collapsed="false">
      <c r="B117" s="5"/>
      <c r="H117" s="5"/>
    </row>
    <row r="118" customFormat="false" ht="15.75" hidden="false" customHeight="false" outlineLevel="0" collapsed="false">
      <c r="A118" s="23"/>
      <c r="B118" s="5"/>
      <c r="D118" s="5"/>
      <c r="H118" s="5"/>
    </row>
    <row r="119" customFormat="false" ht="15.75" hidden="false" customHeight="false" outlineLevel="0" collapsed="false">
      <c r="A119" s="23"/>
      <c r="B119" s="5"/>
      <c r="D119" s="5"/>
      <c r="F119" s="5"/>
      <c r="H119" s="5"/>
    </row>
    <row r="120" customFormat="false" ht="15.75" hidden="false" customHeight="false" outlineLevel="0" collapsed="false">
      <c r="A120" s="5"/>
      <c r="B120" s="22"/>
      <c r="C120" s="4"/>
      <c r="F120" s="5"/>
      <c r="G120" s="5"/>
      <c r="I120" s="21"/>
    </row>
    <row r="122" customFormat="false" ht="15.75" hidden="false" customHeight="false" outlineLevel="0" collapsed="false">
      <c r="A122" s="2"/>
      <c r="B122" s="2"/>
    </row>
    <row r="130" customFormat="false" ht="15.75" hidden="false" customHeight="false" outlineLevel="0" collapsed="false">
      <c r="A130" s="2"/>
    </row>
    <row r="131" customFormat="false" ht="15.7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</row>
    <row r="132" customFormat="false" ht="15.75" hidden="false" customHeight="false" outlineLevel="0" collapsed="false">
      <c r="I132" s="21"/>
    </row>
    <row r="133" customFormat="false" ht="15.75" hidden="false" customHeight="false" outlineLevel="0" collapsed="false">
      <c r="A133" s="5"/>
      <c r="B133" s="5"/>
      <c r="G133" s="5"/>
      <c r="H133" s="5"/>
    </row>
    <row r="134" customFormat="false" ht="15.75" hidden="false" customHeight="false" outlineLevel="0" collapsed="false">
      <c r="A134" s="5"/>
      <c r="B134" s="5"/>
      <c r="G134" s="5"/>
      <c r="H134" s="5"/>
    </row>
    <row r="135" customFormat="false" ht="15.75" hidden="false" customHeight="false" outlineLevel="0" collapsed="false">
      <c r="A135" s="5"/>
      <c r="B135" s="22"/>
      <c r="G135" s="5"/>
      <c r="H135" s="5"/>
    </row>
    <row r="136" customFormat="false" ht="15.75" hidden="false" customHeight="false" outlineLevel="0" collapsed="false">
      <c r="A136" s="23"/>
      <c r="B136" s="5"/>
      <c r="D136" s="5"/>
      <c r="H136" s="5"/>
    </row>
    <row r="137" customFormat="false" ht="15.75" hidden="false" customHeight="false" outlineLevel="0" collapsed="false">
      <c r="A137" s="23"/>
      <c r="B137" s="5"/>
      <c r="D137" s="5"/>
      <c r="F137" s="5"/>
      <c r="H137" s="5"/>
    </row>
    <row r="157" customFormat="false" ht="15.75" hidden="false" customHeight="false" outlineLevel="0" collapsed="false">
      <c r="A157" s="5"/>
      <c r="B157" s="5"/>
      <c r="D157" s="5"/>
      <c r="G157" s="5"/>
      <c r="H157" s="5"/>
    </row>
    <row r="158" customFormat="false" ht="15.75" hidden="false" customHeight="false" outlineLevel="0" collapsed="false">
      <c r="A158" s="5"/>
      <c r="B158" s="5"/>
      <c r="D158" s="5"/>
      <c r="G158" s="5"/>
      <c r="H158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F1" colorId="64" zoomScale="91" zoomScaleNormal="91" zoomScalePageLayoutView="100" workbookViewId="0">
      <selection pane="topLeft" activeCell="S1" activeCellId="1" sqref="E82:E87 S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0" t="s">
        <v>70</v>
      </c>
    </row>
    <row r="3" customFormat="false" ht="15" hidden="false" customHeight="false" outlineLevel="0" collapsed="false">
      <c r="A3" s="0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2025-02-04T21:35:51Z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