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/>
  <xr:revisionPtr revIDLastSave="0" documentId="13_ncr:1_{958B7F32-0D22-4C8B-BD0A-0290E18CB9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cess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2" l="1"/>
  <c r="B81" i="2"/>
  <c r="B80" i="2"/>
  <c r="B83" i="2" s="1"/>
  <c r="B79" i="2"/>
  <c r="B78" i="2"/>
  <c r="B41" i="2"/>
  <c r="B40" i="2"/>
  <c r="B39" i="2"/>
  <c r="D13" i="2"/>
  <c r="G26" i="2" l="1"/>
  <c r="G78" i="2"/>
  <c r="D78" i="2"/>
  <c r="C78" i="2"/>
  <c r="A78" i="2"/>
  <c r="G64" i="2"/>
  <c r="D64" i="2"/>
  <c r="C64" i="2"/>
  <c r="A64" i="2"/>
  <c r="G52" i="2"/>
  <c r="D52" i="2"/>
  <c r="C52" i="2"/>
  <c r="A52" i="2"/>
  <c r="G39" i="2"/>
  <c r="D39" i="2"/>
  <c r="C39" i="2"/>
  <c r="A39" i="2"/>
  <c r="D26" i="2"/>
  <c r="C26" i="2"/>
  <c r="A26" i="2"/>
  <c r="G13" i="2"/>
  <c r="C13" i="2"/>
  <c r="A13" i="2"/>
</calcChain>
</file>

<file path=xl/sharedStrings.xml><?xml version="1.0" encoding="utf-8"?>
<sst xmlns="http://schemas.openxmlformats.org/spreadsheetml/2006/main" count="276" uniqueCount="52">
  <si>
    <t>Activity</t>
  </si>
  <si>
    <t/>
  </si>
  <si>
    <t>location</t>
  </si>
  <si>
    <t>production amount</t>
  </si>
  <si>
    <t>comment</t>
  </si>
  <si>
    <t>source</t>
  </si>
  <si>
    <t>reference product</t>
  </si>
  <si>
    <t>type</t>
  </si>
  <si>
    <t>process</t>
  </si>
  <si>
    <t>unit</t>
  </si>
  <si>
    <t>kilogram</t>
  </si>
  <si>
    <t>Exchanges</t>
  </si>
  <si>
    <t>name</t>
  </si>
  <si>
    <t>amount</t>
  </si>
  <si>
    <t>categories</t>
  </si>
  <si>
    <t>production</t>
  </si>
  <si>
    <t>technosphere</t>
  </si>
  <si>
    <t>biosphere</t>
  </si>
  <si>
    <t>air</t>
  </si>
  <si>
    <t>Carbon dioxide, fossil</t>
  </si>
  <si>
    <t>CH</t>
  </si>
  <si>
    <t>Dinitrogen monoxide</t>
  </si>
  <si>
    <t>kilowatt hour</t>
  </si>
  <si>
    <t>economic outflow</t>
  </si>
  <si>
    <t>environmental outflow</t>
  </si>
  <si>
    <t>database</t>
  </si>
  <si>
    <t>Methane, fossil</t>
  </si>
  <si>
    <t>EV production</t>
  </si>
  <si>
    <t>electric vehicle</t>
  </si>
  <si>
    <t>economic inflow</t>
  </si>
  <si>
    <t>battery manufacturing</t>
  </si>
  <si>
    <t>battery</t>
  </si>
  <si>
    <t>driving the EV</t>
  </si>
  <si>
    <t>kilometers</t>
  </si>
  <si>
    <t>kilometer</t>
  </si>
  <si>
    <t>ICEV production</t>
  </si>
  <si>
    <t>diesel vehicle</t>
  </si>
  <si>
    <t>diesel supply</t>
  </si>
  <si>
    <t>driving the ICEV</t>
  </si>
  <si>
    <t>diesel</t>
  </si>
  <si>
    <t>formula</t>
  </si>
  <si>
    <t>uncertainty type</t>
  </si>
  <si>
    <t>loc</t>
  </si>
  <si>
    <t>scale</t>
  </si>
  <si>
    <t>shape</t>
  </si>
  <si>
    <t>minimum</t>
  </si>
  <si>
    <t>maximum</t>
  </si>
  <si>
    <t>electricity, high voltage</t>
  </si>
  <si>
    <t>market for electricity, high voltage</t>
  </si>
  <si>
    <t>economic inflow - ecoinvent</t>
  </si>
  <si>
    <t>Particulate Matter, &lt; 2.5 um</t>
  </si>
  <si>
    <t>parametric_LCA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</si>
</sst>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3" fillId="0" borderId="0" xfId="1" applyFont="1"/>
    <xf numFmtId="0" fontId="2" fillId="0" borderId="0" xfId="1"/>
    <xf numFmtId="0" fontId="1" fillId="0" borderId="0" xfId="1" applyFont="1"/>
    <xf numFmtId="0" fontId="0" fillId="0" borderId="0" xfId="1" applyFont="1"/>
    <xf numFmtId="0" fontId="0" fillId="0" borderId="0" xfId="0" applyFont="1"/>
    <xf numFmtId="11" fontId="1" fillId="0" borderId="0" xfId="1" applyNumberFormat="1" applyFont="1"/>
    <xf numFmtId="0" fontId="2" fillId="0" borderId="0" xfId="1" applyFont="1"/>
    <xf numFmtId="11" fontId="2" fillId="0" borderId="0" xfId="1" applyNumberFormat="1"/>
    <xf numFmtId="0" fontId="4" fillId="0" borderId="0" xfId="1" applyFont="1"/>
    <xf numFmtId="0" fontId="2" fillId="2" borderId="0" xfId="1" applyFont="1" applyFill="1"/>
    <xf numFmtId="0" fontId="3" fillId="3" borderId="0" xfId="1" applyFont="1" applyFill="1"/>
    <xf numFmtId="0" fontId="2" fillId="3" borderId="0" xfId="1" applyFont="1" applyFill="1"/>
    <xf numFmtId="11" fontId="2" fillId="3" borderId="0" xfId="1" applyNumberFormat="1" applyFont="1" applyFill="1"/>
    <xf numFmtId="0" fontId="3" fillId="4" borderId="0" xfId="1" applyFont="1" applyFill="1"/>
    <xf numFmtId="0" fontId="2" fillId="4" borderId="0" xfId="1" applyFont="1" applyFill="1"/>
    <xf numFmtId="0" fontId="2" fillId="4" borderId="0" xfId="1" applyFont="1" applyFill="1" applyAlignment="1">
      <alignment wrapText="1"/>
    </xf>
    <xf numFmtId="11" fontId="2" fillId="4" borderId="0" xfId="1" applyNumberFormat="1" applyFont="1" applyFill="1"/>
    <xf numFmtId="0" fontId="5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9"/>
  <sheetViews>
    <sheetView tabSelected="1" topLeftCell="A62" zoomScale="70" zoomScaleNormal="70" workbookViewId="0">
      <selection activeCell="A42" sqref="A42"/>
    </sheetView>
  </sheetViews>
  <sheetFormatPr defaultColWidth="12.5703125" defaultRowHeight="15.75" x14ac:dyDescent="0.25"/>
  <cols>
    <col min="1" max="1" width="63.42578125" style="2" customWidth="1"/>
    <col min="2" max="2" width="19.85546875" style="2" bestFit="1" customWidth="1"/>
    <col min="3" max="3" width="12.5703125" style="2"/>
    <col min="4" max="4" width="13.85546875" style="2" bestFit="1" customWidth="1"/>
    <col min="5" max="5" width="12.5703125" style="2"/>
    <col min="6" max="6" width="14.28515625" style="2" bestFit="1" customWidth="1"/>
    <col min="7" max="7" width="53.42578125" style="2" customWidth="1"/>
    <col min="8" max="8" width="77" style="2" bestFit="1" customWidth="1"/>
    <col min="9" max="16" width="12.5703125" style="1"/>
    <col min="17" max="16384" width="12.5703125" style="2"/>
  </cols>
  <sheetData>
    <row r="1" spans="1:15" x14ac:dyDescent="0.25">
      <c r="A1" s="10" t="s">
        <v>25</v>
      </c>
      <c r="B1" s="10" t="s">
        <v>51</v>
      </c>
      <c r="C1" s="7"/>
      <c r="D1" s="7"/>
      <c r="E1" s="7"/>
      <c r="F1" s="7"/>
      <c r="G1" s="7"/>
      <c r="H1" s="7"/>
    </row>
    <row r="2" spans="1:15" x14ac:dyDescent="0.25">
      <c r="A2" s="7"/>
      <c r="B2" s="7"/>
      <c r="C2" s="7"/>
      <c r="D2" s="7"/>
      <c r="E2" s="7"/>
      <c r="F2" s="7"/>
      <c r="G2" s="7"/>
      <c r="H2" s="7"/>
    </row>
    <row r="3" spans="1:15" x14ac:dyDescent="0.25">
      <c r="F3" s="3"/>
    </row>
    <row r="4" spans="1:15" x14ac:dyDescent="0.25">
      <c r="A4" s="14" t="s">
        <v>0</v>
      </c>
      <c r="B4" s="14" t="s">
        <v>27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25">
      <c r="A5" s="15" t="s">
        <v>2</v>
      </c>
      <c r="B5" s="15" t="s">
        <v>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25">
      <c r="A6" s="15" t="s">
        <v>3</v>
      </c>
      <c r="B6" s="15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25">
      <c r="A7" s="15" t="s">
        <v>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5">
      <c r="A8" s="15" t="s">
        <v>6</v>
      </c>
      <c r="B8" s="15" t="s">
        <v>28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25">
      <c r="A9" s="15" t="s">
        <v>7</v>
      </c>
      <c r="B9" s="15" t="s">
        <v>8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25">
      <c r="A10" s="15" t="s">
        <v>9</v>
      </c>
      <c r="B10" s="15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25">
      <c r="A11" s="14" t="s">
        <v>11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25">
      <c r="A12" s="14" t="s">
        <v>12</v>
      </c>
      <c r="B12" s="14" t="s">
        <v>13</v>
      </c>
      <c r="C12" s="14" t="s">
        <v>2</v>
      </c>
      <c r="D12" s="14" t="s">
        <v>9</v>
      </c>
      <c r="E12" s="14" t="s">
        <v>14</v>
      </c>
      <c r="F12" s="14" t="s">
        <v>7</v>
      </c>
      <c r="G12" s="14" t="s">
        <v>6</v>
      </c>
      <c r="H12" s="14" t="s">
        <v>4</v>
      </c>
      <c r="I12" s="14" t="s">
        <v>40</v>
      </c>
      <c r="J12" s="14" t="s">
        <v>41</v>
      </c>
      <c r="K12" s="14" t="s">
        <v>42</v>
      </c>
      <c r="L12" s="14" t="s">
        <v>43</v>
      </c>
      <c r="M12" s="14" t="s">
        <v>44</v>
      </c>
      <c r="N12" s="14" t="s">
        <v>45</v>
      </c>
      <c r="O12" s="14" t="s">
        <v>46</v>
      </c>
    </row>
    <row r="13" spans="1:15" x14ac:dyDescent="0.25">
      <c r="A13" s="15" t="str">
        <f>B4</f>
        <v>EV production</v>
      </c>
      <c r="B13" s="15">
        <v>1</v>
      </c>
      <c r="C13" s="15" t="str">
        <f>B5</f>
        <v>CH</v>
      </c>
      <c r="D13" s="15" t="str">
        <f>B10</f>
        <v>unit</v>
      </c>
      <c r="E13" s="15"/>
      <c r="F13" s="15" t="s">
        <v>15</v>
      </c>
      <c r="G13" s="15" t="str">
        <f>B8</f>
        <v>electric vehicle</v>
      </c>
      <c r="H13" s="15" t="s">
        <v>23</v>
      </c>
      <c r="I13" s="15"/>
      <c r="J13" s="15"/>
      <c r="K13" s="15"/>
      <c r="L13" s="15"/>
      <c r="M13" s="15"/>
      <c r="N13" s="15"/>
      <c r="O13" s="15"/>
    </row>
    <row r="14" spans="1:15" x14ac:dyDescent="0.25">
      <c r="A14" s="15" t="s">
        <v>30</v>
      </c>
      <c r="B14" s="15">
        <v>1</v>
      </c>
      <c r="C14" s="15" t="s">
        <v>20</v>
      </c>
      <c r="D14" s="15" t="s">
        <v>9</v>
      </c>
      <c r="E14" s="15"/>
      <c r="F14" s="15" t="s">
        <v>16</v>
      </c>
      <c r="G14" s="15" t="s">
        <v>31</v>
      </c>
      <c r="H14" s="15" t="s">
        <v>29</v>
      </c>
      <c r="I14" s="15"/>
      <c r="J14" s="15"/>
      <c r="K14" s="15"/>
      <c r="L14" s="15"/>
      <c r="M14" s="15"/>
      <c r="N14" s="15"/>
      <c r="O14" s="15"/>
    </row>
    <row r="15" spans="1:15" x14ac:dyDescent="0.25">
      <c r="A15" s="15" t="s">
        <v>48</v>
      </c>
      <c r="B15" s="15">
        <v>4000</v>
      </c>
      <c r="C15" s="15" t="s">
        <v>20</v>
      </c>
      <c r="D15" s="15" t="s">
        <v>22</v>
      </c>
      <c r="E15" s="15"/>
      <c r="F15" s="15" t="s">
        <v>16</v>
      </c>
      <c r="G15" s="15" t="s">
        <v>47</v>
      </c>
      <c r="H15" s="15" t="s">
        <v>49</v>
      </c>
      <c r="I15" s="15"/>
      <c r="J15" s="15"/>
      <c r="K15" s="15"/>
      <c r="L15" s="15"/>
      <c r="M15" s="15"/>
      <c r="N15" s="15"/>
      <c r="O15" s="15"/>
    </row>
    <row r="16" spans="1:15" x14ac:dyDescent="0.25">
      <c r="A16" s="7"/>
      <c r="B16" s="7"/>
      <c r="C16" s="7"/>
      <c r="D16" s="7"/>
      <c r="E16" s="7"/>
      <c r="F16" s="7"/>
      <c r="G16" s="7"/>
      <c r="H16" s="7"/>
    </row>
    <row r="17" spans="1:15" x14ac:dyDescent="0.25">
      <c r="A17" s="11" t="s">
        <v>0</v>
      </c>
      <c r="B17" s="11" t="s">
        <v>30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x14ac:dyDescent="0.25">
      <c r="A18" s="12" t="s">
        <v>2</v>
      </c>
      <c r="B18" s="12" t="s">
        <v>20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 x14ac:dyDescent="0.25">
      <c r="A19" s="12" t="s">
        <v>3</v>
      </c>
      <c r="B19" s="12">
        <v>1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x14ac:dyDescent="0.25">
      <c r="A20" s="12" t="s">
        <v>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x14ac:dyDescent="0.25">
      <c r="A21" s="12" t="s">
        <v>6</v>
      </c>
      <c r="B21" s="12" t="s">
        <v>31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x14ac:dyDescent="0.25">
      <c r="A22" s="12" t="s">
        <v>7</v>
      </c>
      <c r="B22" s="12" t="s">
        <v>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x14ac:dyDescent="0.25">
      <c r="A23" s="12" t="s">
        <v>9</v>
      </c>
      <c r="B23" s="12" t="s">
        <v>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x14ac:dyDescent="0.25">
      <c r="A24" s="11" t="s">
        <v>11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x14ac:dyDescent="0.25">
      <c r="A25" s="11" t="s">
        <v>12</v>
      </c>
      <c r="B25" s="11" t="s">
        <v>13</v>
      </c>
      <c r="C25" s="11" t="s">
        <v>2</v>
      </c>
      <c r="D25" s="11" t="s">
        <v>9</v>
      </c>
      <c r="E25" s="11" t="s">
        <v>14</v>
      </c>
      <c r="F25" s="11" t="s">
        <v>7</v>
      </c>
      <c r="G25" s="11" t="s">
        <v>6</v>
      </c>
      <c r="H25" s="11" t="s">
        <v>4</v>
      </c>
      <c r="I25" s="11" t="s">
        <v>40</v>
      </c>
      <c r="J25" s="11" t="s">
        <v>41</v>
      </c>
      <c r="K25" s="11" t="s">
        <v>42</v>
      </c>
      <c r="L25" s="11" t="s">
        <v>43</v>
      </c>
      <c r="M25" s="11" t="s">
        <v>44</v>
      </c>
      <c r="N25" s="11" t="s">
        <v>45</v>
      </c>
      <c r="O25" s="11" t="s">
        <v>46</v>
      </c>
    </row>
    <row r="26" spans="1:15" x14ac:dyDescent="0.25">
      <c r="A26" s="12" t="str">
        <f>B17</f>
        <v>battery manufacturing</v>
      </c>
      <c r="B26" s="12">
        <v>1</v>
      </c>
      <c r="C26" s="12" t="str">
        <f>B18</f>
        <v>CH</v>
      </c>
      <c r="D26" s="12" t="str">
        <f>B23</f>
        <v>unit</v>
      </c>
      <c r="E26" s="12"/>
      <c r="F26" s="12" t="s">
        <v>15</v>
      </c>
      <c r="G26" s="12" t="str">
        <f>B21</f>
        <v>battery</v>
      </c>
      <c r="H26" s="12" t="s">
        <v>23</v>
      </c>
      <c r="I26" s="12"/>
      <c r="J26" s="12"/>
      <c r="K26" s="12"/>
      <c r="L26" s="12"/>
      <c r="M26" s="12"/>
      <c r="N26" s="12"/>
      <c r="O26" s="12"/>
    </row>
    <row r="27" spans="1:15" x14ac:dyDescent="0.25">
      <c r="A27" s="12" t="s">
        <v>48</v>
      </c>
      <c r="B27" s="12">
        <v>600</v>
      </c>
      <c r="C27" s="12" t="s">
        <v>20</v>
      </c>
      <c r="D27" s="12" t="s">
        <v>22</v>
      </c>
      <c r="E27" s="12"/>
      <c r="F27" s="12" t="s">
        <v>16</v>
      </c>
      <c r="G27" s="12" t="s">
        <v>47</v>
      </c>
      <c r="H27" s="12" t="s">
        <v>49</v>
      </c>
      <c r="I27" s="12"/>
      <c r="J27" s="12"/>
      <c r="K27" s="12"/>
      <c r="L27" s="12"/>
      <c r="M27" s="12"/>
      <c r="N27" s="12"/>
      <c r="O27" s="12"/>
    </row>
    <row r="28" spans="1:15" x14ac:dyDescent="0.25">
      <c r="B28" s="8"/>
    </row>
    <row r="29" spans="1:15" x14ac:dyDescent="0.25">
      <c r="A29" s="14" t="s">
        <v>0</v>
      </c>
      <c r="B29" s="14" t="s">
        <v>32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15" t="s">
        <v>2</v>
      </c>
      <c r="B30" s="15" t="s">
        <v>20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5">
      <c r="A31" s="15" t="s">
        <v>3</v>
      </c>
      <c r="B31" s="15">
        <v>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15" t="s">
        <v>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x14ac:dyDescent="0.25">
      <c r="A33" s="15" t="s">
        <v>6</v>
      </c>
      <c r="B33" s="15" t="s">
        <v>33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25">
      <c r="A34" s="15" t="s">
        <v>7</v>
      </c>
      <c r="B34" s="15" t="s">
        <v>8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x14ac:dyDescent="0.25">
      <c r="A35" s="15" t="s">
        <v>9</v>
      </c>
      <c r="B35" s="16" t="s">
        <v>34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x14ac:dyDescent="0.25">
      <c r="A36" s="15"/>
      <c r="B36" s="16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x14ac:dyDescent="0.25">
      <c r="A37" s="14" t="s">
        <v>11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x14ac:dyDescent="0.25">
      <c r="A38" s="14" t="s">
        <v>12</v>
      </c>
      <c r="B38" s="14" t="s">
        <v>13</v>
      </c>
      <c r="C38" s="14" t="s">
        <v>2</v>
      </c>
      <c r="D38" s="14" t="s">
        <v>9</v>
      </c>
      <c r="E38" s="14" t="s">
        <v>14</v>
      </c>
      <c r="F38" s="14" t="s">
        <v>7</v>
      </c>
      <c r="G38" s="14" t="s">
        <v>6</v>
      </c>
      <c r="H38" s="14" t="s">
        <v>4</v>
      </c>
      <c r="I38" s="15" t="s">
        <v>40</v>
      </c>
      <c r="J38" s="15" t="s">
        <v>41</v>
      </c>
      <c r="K38" s="15" t="s">
        <v>42</v>
      </c>
      <c r="L38" s="15" t="s">
        <v>43</v>
      </c>
      <c r="M38" s="15" t="s">
        <v>44</v>
      </c>
      <c r="N38" s="15" t="s">
        <v>45</v>
      </c>
      <c r="O38" s="15" t="s">
        <v>46</v>
      </c>
    </row>
    <row r="39" spans="1:15" x14ac:dyDescent="0.25">
      <c r="A39" s="15" t="str">
        <f>B29</f>
        <v>driving the EV</v>
      </c>
      <c r="B39" s="15">
        <f>160000/160000</f>
        <v>1</v>
      </c>
      <c r="C39" s="15" t="str">
        <f>B30</f>
        <v>CH</v>
      </c>
      <c r="D39" s="15" t="str">
        <f>B35</f>
        <v>kilometer</v>
      </c>
      <c r="E39" s="15"/>
      <c r="F39" s="15" t="s">
        <v>15</v>
      </c>
      <c r="G39" s="15" t="str">
        <f>B33</f>
        <v>kilometers</v>
      </c>
      <c r="H39" s="15" t="s">
        <v>23</v>
      </c>
      <c r="I39" s="15"/>
      <c r="J39" s="15"/>
      <c r="K39" s="15"/>
      <c r="L39" s="15"/>
      <c r="M39" s="15"/>
      <c r="N39" s="15"/>
      <c r="O39" s="15"/>
    </row>
    <row r="40" spans="1:15" x14ac:dyDescent="0.25">
      <c r="A40" s="15" t="s">
        <v>27</v>
      </c>
      <c r="B40" s="15">
        <f>1/160000</f>
        <v>6.2500000000000003E-6</v>
      </c>
      <c r="C40" s="15" t="s">
        <v>20</v>
      </c>
      <c r="D40" s="15" t="s">
        <v>9</v>
      </c>
      <c r="E40" s="15"/>
      <c r="F40" s="15" t="s">
        <v>16</v>
      </c>
      <c r="G40" s="15" t="s">
        <v>28</v>
      </c>
      <c r="H40" s="15" t="s">
        <v>23</v>
      </c>
      <c r="I40" s="15"/>
      <c r="J40" s="15"/>
      <c r="K40" s="15"/>
      <c r="L40" s="15"/>
      <c r="M40" s="15"/>
      <c r="N40" s="15"/>
      <c r="O40" s="15"/>
    </row>
    <row r="41" spans="1:15" x14ac:dyDescent="0.25">
      <c r="A41" s="15" t="s">
        <v>48</v>
      </c>
      <c r="B41" s="15">
        <f>31500/160000</f>
        <v>0.19687499999999999</v>
      </c>
      <c r="C41" s="15" t="s">
        <v>20</v>
      </c>
      <c r="D41" s="15" t="s">
        <v>22</v>
      </c>
      <c r="E41" s="15"/>
      <c r="F41" s="15" t="s">
        <v>16</v>
      </c>
      <c r="G41" s="15" t="s">
        <v>47</v>
      </c>
      <c r="H41" s="15" t="s">
        <v>49</v>
      </c>
      <c r="I41" s="15"/>
      <c r="J41" s="15"/>
      <c r="K41" s="15"/>
      <c r="L41" s="15"/>
      <c r="M41" s="15"/>
      <c r="N41" s="15"/>
      <c r="O41" s="15"/>
    </row>
    <row r="42" spans="1:15" x14ac:dyDescent="0.25">
      <c r="B42" s="8"/>
    </row>
    <row r="43" spans="1:15" x14ac:dyDescent="0.25">
      <c r="A43" s="11" t="s">
        <v>0</v>
      </c>
      <c r="B43" s="11" t="s">
        <v>35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x14ac:dyDescent="0.25">
      <c r="A44" s="12" t="s">
        <v>2</v>
      </c>
      <c r="B44" s="12" t="s">
        <v>20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25">
      <c r="A45" s="12" t="s">
        <v>3</v>
      </c>
      <c r="B45" s="12">
        <v>1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25">
      <c r="A46" s="12" t="s">
        <v>5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25">
      <c r="A47" s="12" t="s">
        <v>6</v>
      </c>
      <c r="B47" s="12" t="s">
        <v>36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25">
      <c r="A48" s="12" t="s">
        <v>7</v>
      </c>
      <c r="B48" s="12" t="s">
        <v>8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25">
      <c r="A49" s="12" t="s">
        <v>9</v>
      </c>
      <c r="B49" s="12" t="s">
        <v>9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25">
      <c r="A50" s="11" t="s">
        <v>11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25">
      <c r="A51" s="11" t="s">
        <v>12</v>
      </c>
      <c r="B51" s="11" t="s">
        <v>13</v>
      </c>
      <c r="C51" s="11" t="s">
        <v>2</v>
      </c>
      <c r="D51" s="11" t="s">
        <v>9</v>
      </c>
      <c r="E51" s="11" t="s">
        <v>14</v>
      </c>
      <c r="F51" s="11" t="s">
        <v>7</v>
      </c>
      <c r="G51" s="11" t="s">
        <v>6</v>
      </c>
      <c r="H51" s="11" t="s">
        <v>4</v>
      </c>
      <c r="I51" s="11" t="s">
        <v>40</v>
      </c>
      <c r="J51" s="11" t="s">
        <v>41</v>
      </c>
      <c r="K51" s="11" t="s">
        <v>42</v>
      </c>
      <c r="L51" s="11" t="s">
        <v>43</v>
      </c>
      <c r="M51" s="11" t="s">
        <v>44</v>
      </c>
      <c r="N51" s="11" t="s">
        <v>45</v>
      </c>
      <c r="O51" s="11" t="s">
        <v>46</v>
      </c>
    </row>
    <row r="52" spans="1:15" x14ac:dyDescent="0.25">
      <c r="A52" s="12" t="str">
        <f>B43</f>
        <v>ICEV production</v>
      </c>
      <c r="B52" s="12">
        <v>1</v>
      </c>
      <c r="C52" s="12" t="str">
        <f>B44</f>
        <v>CH</v>
      </c>
      <c r="D52" s="12" t="str">
        <f>B49</f>
        <v>unit</v>
      </c>
      <c r="E52" s="12"/>
      <c r="F52" s="12" t="s">
        <v>15</v>
      </c>
      <c r="G52" s="12" t="str">
        <f>B47</f>
        <v>diesel vehicle</v>
      </c>
      <c r="H52" s="12" t="s">
        <v>23</v>
      </c>
      <c r="I52" s="12"/>
      <c r="J52" s="12"/>
      <c r="K52" s="12"/>
      <c r="L52" s="12"/>
      <c r="M52" s="12"/>
      <c r="N52" s="12"/>
      <c r="O52" s="12"/>
    </row>
    <row r="53" spans="1:15" x14ac:dyDescent="0.25">
      <c r="A53" s="12" t="s">
        <v>48</v>
      </c>
      <c r="B53" s="12">
        <v>3000</v>
      </c>
      <c r="C53" s="12" t="s">
        <v>20</v>
      </c>
      <c r="D53" s="12" t="s">
        <v>22</v>
      </c>
      <c r="E53" s="12"/>
      <c r="F53" s="12" t="s">
        <v>16</v>
      </c>
      <c r="G53" s="12" t="s">
        <v>47</v>
      </c>
      <c r="H53" s="12" t="s">
        <v>29</v>
      </c>
      <c r="I53" s="12"/>
      <c r="J53" s="12"/>
      <c r="K53" s="12"/>
      <c r="L53" s="12"/>
      <c r="M53" s="12"/>
      <c r="N53" s="12"/>
      <c r="O53" s="12"/>
    </row>
    <row r="55" spans="1:15" x14ac:dyDescent="0.25">
      <c r="A55" s="14" t="s">
        <v>0</v>
      </c>
      <c r="B55" s="14" t="s">
        <v>37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x14ac:dyDescent="0.25">
      <c r="A56" s="15" t="s">
        <v>2</v>
      </c>
      <c r="B56" s="15" t="s">
        <v>20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x14ac:dyDescent="0.25">
      <c r="A57" s="15" t="s">
        <v>3</v>
      </c>
      <c r="B57" s="15">
        <v>1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x14ac:dyDescent="0.25">
      <c r="A58" s="15" t="s">
        <v>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x14ac:dyDescent="0.25">
      <c r="A59" s="15" t="s">
        <v>6</v>
      </c>
      <c r="B59" s="15" t="s">
        <v>39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x14ac:dyDescent="0.25">
      <c r="A60" s="15" t="s">
        <v>7</v>
      </c>
      <c r="B60" s="15" t="s">
        <v>8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x14ac:dyDescent="0.25">
      <c r="A61" s="15" t="s">
        <v>9</v>
      </c>
      <c r="B61" s="16" t="s">
        <v>10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x14ac:dyDescent="0.25">
      <c r="A62" s="14" t="s">
        <v>11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x14ac:dyDescent="0.25">
      <c r="A63" s="14" t="s">
        <v>12</v>
      </c>
      <c r="B63" s="14" t="s">
        <v>13</v>
      </c>
      <c r="C63" s="14" t="s">
        <v>2</v>
      </c>
      <c r="D63" s="14" t="s">
        <v>9</v>
      </c>
      <c r="E63" s="14" t="s">
        <v>14</v>
      </c>
      <c r="F63" s="14" t="s">
        <v>7</v>
      </c>
      <c r="G63" s="14" t="s">
        <v>6</v>
      </c>
      <c r="H63" s="14" t="s">
        <v>4</v>
      </c>
      <c r="I63" s="14" t="s">
        <v>40</v>
      </c>
      <c r="J63" s="14" t="s">
        <v>41</v>
      </c>
      <c r="K63" s="14" t="s">
        <v>42</v>
      </c>
      <c r="L63" s="14" t="s">
        <v>43</v>
      </c>
      <c r="M63" s="14" t="s">
        <v>44</v>
      </c>
      <c r="N63" s="14" t="s">
        <v>45</v>
      </c>
      <c r="O63" s="14" t="s">
        <v>46</v>
      </c>
    </row>
    <row r="64" spans="1:15" x14ac:dyDescent="0.25">
      <c r="A64" s="15" t="str">
        <f>B55</f>
        <v>diesel supply</v>
      </c>
      <c r="B64" s="15">
        <v>1</v>
      </c>
      <c r="C64" s="15" t="str">
        <f>B56</f>
        <v>CH</v>
      </c>
      <c r="D64" s="15" t="str">
        <f>B61</f>
        <v>kilogram</v>
      </c>
      <c r="E64" s="15"/>
      <c r="F64" s="15" t="s">
        <v>15</v>
      </c>
      <c r="G64" s="15" t="str">
        <f>B59</f>
        <v>diesel</v>
      </c>
      <c r="H64" s="15" t="s">
        <v>23</v>
      </c>
      <c r="I64" s="15"/>
      <c r="J64" s="15"/>
      <c r="K64" s="15"/>
      <c r="L64" s="15"/>
      <c r="M64" s="15"/>
      <c r="N64" s="15"/>
      <c r="O64" s="15"/>
    </row>
    <row r="65" spans="1:15" x14ac:dyDescent="0.25">
      <c r="A65" s="15" t="s">
        <v>48</v>
      </c>
      <c r="B65" s="15">
        <v>1.4999999999999999E-2</v>
      </c>
      <c r="C65" s="15" t="s">
        <v>20</v>
      </c>
      <c r="D65" s="15" t="s">
        <v>22</v>
      </c>
      <c r="E65" s="15"/>
      <c r="F65" s="15" t="s">
        <v>16</v>
      </c>
      <c r="G65" s="15" t="s">
        <v>47</v>
      </c>
      <c r="H65" s="15" t="s">
        <v>29</v>
      </c>
      <c r="I65" s="15"/>
      <c r="J65" s="15"/>
      <c r="K65" s="15"/>
      <c r="L65" s="15"/>
      <c r="M65" s="15"/>
      <c r="N65" s="15"/>
      <c r="O65" s="15"/>
    </row>
    <row r="66" spans="1:15" x14ac:dyDescent="0.25">
      <c r="A66" s="15" t="s">
        <v>26</v>
      </c>
      <c r="B66" s="17">
        <v>2.0000000000000002E-5</v>
      </c>
      <c r="C66" s="15"/>
      <c r="D66" s="15" t="s">
        <v>10</v>
      </c>
      <c r="E66" s="15" t="s">
        <v>18</v>
      </c>
      <c r="F66" s="15" t="s">
        <v>17</v>
      </c>
      <c r="G66" s="15"/>
      <c r="H66" s="15" t="s">
        <v>24</v>
      </c>
      <c r="I66" s="15"/>
      <c r="J66" s="15"/>
      <c r="K66" s="15"/>
      <c r="L66" s="15"/>
      <c r="M66" s="15"/>
      <c r="N66" s="15"/>
      <c r="O66" s="15"/>
    </row>
    <row r="67" spans="1:15" x14ac:dyDescent="0.25">
      <c r="A67" s="15" t="s">
        <v>21</v>
      </c>
      <c r="B67" s="17">
        <v>1.5E-6</v>
      </c>
      <c r="C67" s="15"/>
      <c r="D67" s="15" t="s">
        <v>10</v>
      </c>
      <c r="E67" s="15" t="s">
        <v>18</v>
      </c>
      <c r="F67" s="15" t="s">
        <v>17</v>
      </c>
      <c r="G67" s="15"/>
      <c r="H67" s="15" t="s">
        <v>24</v>
      </c>
      <c r="I67" s="15"/>
      <c r="J67" s="15"/>
      <c r="K67" s="15"/>
      <c r="L67" s="15"/>
      <c r="M67" s="15"/>
      <c r="N67" s="15"/>
      <c r="O67" s="15"/>
    </row>
    <row r="68" spans="1:15" x14ac:dyDescent="0.25">
      <c r="A68" s="7"/>
      <c r="B68" s="3"/>
      <c r="H68" s="3"/>
    </row>
    <row r="69" spans="1:15" x14ac:dyDescent="0.25">
      <c r="A69" s="11" t="s">
        <v>0</v>
      </c>
      <c r="B69" s="11" t="s">
        <v>38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25">
      <c r="A70" s="12" t="s">
        <v>2</v>
      </c>
      <c r="B70" s="12" t="s">
        <v>20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25">
      <c r="A71" s="12" t="s">
        <v>3</v>
      </c>
      <c r="B71" s="12">
        <v>1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25">
      <c r="A72" s="12" t="s">
        <v>5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25">
      <c r="A73" s="12" t="s">
        <v>6</v>
      </c>
      <c r="B73" s="12" t="s">
        <v>33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25">
      <c r="A74" s="12" t="s">
        <v>7</v>
      </c>
      <c r="B74" s="12" t="s">
        <v>8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25">
      <c r="A75" s="12" t="s">
        <v>9</v>
      </c>
      <c r="B75" s="12" t="s">
        <v>34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25">
      <c r="A76" s="11" t="s">
        <v>11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25">
      <c r="A77" s="11" t="s">
        <v>12</v>
      </c>
      <c r="B77" s="11" t="s">
        <v>13</v>
      </c>
      <c r="C77" s="11" t="s">
        <v>2</v>
      </c>
      <c r="D77" s="11" t="s">
        <v>9</v>
      </c>
      <c r="E77" s="11" t="s">
        <v>14</v>
      </c>
      <c r="F77" s="11" t="s">
        <v>7</v>
      </c>
      <c r="G77" s="11" t="s">
        <v>6</v>
      </c>
      <c r="H77" s="11" t="s">
        <v>4</v>
      </c>
      <c r="I77" s="11" t="s">
        <v>40</v>
      </c>
      <c r="J77" s="11" t="s">
        <v>41</v>
      </c>
      <c r="K77" s="11" t="s">
        <v>42</v>
      </c>
      <c r="L77" s="11" t="s">
        <v>43</v>
      </c>
      <c r="M77" s="11" t="s">
        <v>44</v>
      </c>
      <c r="N77" s="11" t="s">
        <v>45</v>
      </c>
      <c r="O77" s="11" t="s">
        <v>46</v>
      </c>
    </row>
    <row r="78" spans="1:15" x14ac:dyDescent="0.25">
      <c r="A78" s="12" t="str">
        <f>B69</f>
        <v>driving the ICEV</v>
      </c>
      <c r="B78" s="12">
        <f>160000/160000</f>
        <v>1</v>
      </c>
      <c r="C78" s="12" t="str">
        <f>B70</f>
        <v>CH</v>
      </c>
      <c r="D78" s="12" t="str">
        <f>B75</f>
        <v>kilometer</v>
      </c>
      <c r="E78" s="12"/>
      <c r="F78" s="12" t="s">
        <v>15</v>
      </c>
      <c r="G78" s="12" t="str">
        <f>B73</f>
        <v>kilometers</v>
      </c>
      <c r="H78" s="12" t="s">
        <v>23</v>
      </c>
      <c r="I78" s="12"/>
      <c r="J78" s="12"/>
      <c r="K78" s="12"/>
      <c r="L78" s="12"/>
      <c r="M78" s="12"/>
      <c r="N78" s="12"/>
      <c r="O78" s="12"/>
    </row>
    <row r="79" spans="1:15" x14ac:dyDescent="0.25">
      <c r="A79" s="12" t="s">
        <v>35</v>
      </c>
      <c r="B79" s="12">
        <f>1/160000</f>
        <v>6.2500000000000003E-6</v>
      </c>
      <c r="C79" s="12" t="s">
        <v>20</v>
      </c>
      <c r="D79" s="12" t="s">
        <v>9</v>
      </c>
      <c r="E79" s="12"/>
      <c r="F79" s="12" t="s">
        <v>16</v>
      </c>
      <c r="G79" s="12" t="s">
        <v>36</v>
      </c>
      <c r="H79" s="12" t="s">
        <v>29</v>
      </c>
      <c r="I79" s="12"/>
      <c r="J79" s="12"/>
      <c r="K79" s="12"/>
      <c r="L79" s="12"/>
      <c r="M79" s="12"/>
      <c r="N79" s="12"/>
      <c r="O79" s="12"/>
    </row>
    <row r="80" spans="1:15" x14ac:dyDescent="0.25">
      <c r="A80" s="12" t="s">
        <v>37</v>
      </c>
      <c r="B80" s="12">
        <f>12200/160000</f>
        <v>7.6249999999999998E-2</v>
      </c>
      <c r="C80" s="12" t="s">
        <v>20</v>
      </c>
      <c r="D80" s="12" t="s">
        <v>10</v>
      </c>
      <c r="E80" s="12"/>
      <c r="F80" s="12" t="s">
        <v>16</v>
      </c>
      <c r="G80" s="12" t="s">
        <v>39</v>
      </c>
      <c r="H80" s="12" t="s">
        <v>29</v>
      </c>
      <c r="I80" s="12"/>
      <c r="J80" s="12"/>
      <c r="K80" s="12"/>
      <c r="L80" s="12"/>
      <c r="M80" s="12"/>
      <c r="N80" s="12"/>
      <c r="O80" s="12"/>
    </row>
    <row r="81" spans="1:15" x14ac:dyDescent="0.25">
      <c r="A81" s="12" t="s">
        <v>19</v>
      </c>
      <c r="B81" s="13">
        <f>38000/160000</f>
        <v>0.23749999999999999</v>
      </c>
      <c r="C81" s="12"/>
      <c r="D81" s="12" t="s">
        <v>10</v>
      </c>
      <c r="E81" s="12" t="s">
        <v>18</v>
      </c>
      <c r="F81" s="12" t="s">
        <v>17</v>
      </c>
      <c r="G81" s="12"/>
      <c r="H81" s="12" t="s">
        <v>24</v>
      </c>
      <c r="I81" s="12"/>
      <c r="J81" s="12"/>
      <c r="K81" s="12"/>
      <c r="L81" s="12"/>
      <c r="M81" s="12"/>
      <c r="N81" s="12"/>
      <c r="O81" s="12"/>
    </row>
    <row r="82" spans="1:15" x14ac:dyDescent="0.25">
      <c r="A82" s="12" t="s">
        <v>21</v>
      </c>
      <c r="B82" s="13">
        <f>0.008/160000</f>
        <v>4.9999999999999998E-8</v>
      </c>
      <c r="C82" s="12"/>
      <c r="D82" s="12" t="s">
        <v>10</v>
      </c>
      <c r="E82" s="12" t="s">
        <v>18</v>
      </c>
      <c r="F82" s="12" t="s">
        <v>17</v>
      </c>
      <c r="G82" s="12"/>
      <c r="H82" s="12" t="s">
        <v>24</v>
      </c>
      <c r="I82" s="12"/>
      <c r="J82" s="12"/>
      <c r="K82" s="12"/>
      <c r="L82" s="12"/>
      <c r="M82" s="12"/>
      <c r="N82" s="12"/>
      <c r="O82" s="12"/>
    </row>
    <row r="83" spans="1:15" x14ac:dyDescent="0.25">
      <c r="A83" s="12" t="s">
        <v>50</v>
      </c>
      <c r="B83" s="13">
        <f>B80*0.0015</f>
        <v>1.14375E-4</v>
      </c>
      <c r="C83" s="12"/>
      <c r="D83" s="12" t="s">
        <v>10</v>
      </c>
      <c r="E83" s="12" t="s">
        <v>18</v>
      </c>
      <c r="F83" s="12" t="s">
        <v>17</v>
      </c>
      <c r="G83" s="12"/>
      <c r="H83" s="12" t="s">
        <v>24</v>
      </c>
      <c r="I83" s="12"/>
      <c r="J83" s="12"/>
      <c r="K83" s="12"/>
      <c r="L83" s="12"/>
      <c r="M83" s="12"/>
      <c r="N83" s="12"/>
      <c r="O83" s="12"/>
    </row>
    <row r="86" spans="1:15" x14ac:dyDescent="0.25">
      <c r="B86" s="8"/>
    </row>
    <row r="87" spans="1:15" x14ac:dyDescent="0.25">
      <c r="A87" s="1"/>
    </row>
    <row r="88" spans="1:15" x14ac:dyDescent="0.25">
      <c r="A88" s="1"/>
      <c r="B88" s="1"/>
      <c r="C88" s="1"/>
      <c r="D88" s="1"/>
      <c r="E88" s="1"/>
      <c r="F88" s="1"/>
      <c r="G88" s="1"/>
      <c r="H88" s="1"/>
    </row>
    <row r="89" spans="1:15" x14ac:dyDescent="0.25">
      <c r="I89" s="18"/>
    </row>
    <row r="90" spans="1:15" x14ac:dyDescent="0.25">
      <c r="A90" s="3"/>
      <c r="B90" s="3"/>
      <c r="F90" s="3"/>
      <c r="G90" s="3"/>
      <c r="H90" s="3"/>
    </row>
    <row r="91" spans="1:15" x14ac:dyDescent="0.25">
      <c r="A91" s="3"/>
      <c r="B91" s="3"/>
      <c r="F91" s="3"/>
      <c r="G91" s="3"/>
      <c r="H91" s="3"/>
    </row>
    <row r="92" spans="1:15" x14ac:dyDescent="0.25">
      <c r="A92" s="3"/>
      <c r="B92" s="6"/>
      <c r="F92" s="3"/>
      <c r="G92" s="3"/>
      <c r="H92" s="3"/>
    </row>
    <row r="93" spans="1:15" x14ac:dyDescent="0.25">
      <c r="A93" s="3"/>
      <c r="B93" s="6"/>
      <c r="D93" s="3"/>
      <c r="F93" s="3"/>
      <c r="G93" s="3"/>
      <c r="H93" s="3"/>
    </row>
    <row r="94" spans="1:15" x14ac:dyDescent="0.25">
      <c r="B94" s="6"/>
    </row>
    <row r="95" spans="1:15" x14ac:dyDescent="0.25">
      <c r="B95" s="6"/>
      <c r="H95" s="3"/>
    </row>
    <row r="96" spans="1:15" x14ac:dyDescent="0.25">
      <c r="B96" s="6"/>
      <c r="H96" s="3"/>
    </row>
    <row r="97" spans="1:9" x14ac:dyDescent="0.25">
      <c r="B97" s="6"/>
    </row>
    <row r="98" spans="1:9" x14ac:dyDescent="0.25">
      <c r="B98" s="6"/>
      <c r="H98" s="4"/>
    </row>
    <row r="99" spans="1:9" x14ac:dyDescent="0.25">
      <c r="A99" s="3"/>
      <c r="B99" s="3"/>
      <c r="F99" s="3"/>
      <c r="G99" s="3"/>
      <c r="H99" s="3"/>
    </row>
    <row r="100" spans="1:9" x14ac:dyDescent="0.25">
      <c r="B100" s="3"/>
      <c r="H100" s="3"/>
    </row>
    <row r="101" spans="1:9" x14ac:dyDescent="0.25">
      <c r="A101" s="3"/>
      <c r="B101" s="3"/>
      <c r="G101" s="3"/>
      <c r="H101" s="3"/>
    </row>
    <row r="102" spans="1:9" x14ac:dyDescent="0.25">
      <c r="B102" s="3"/>
      <c r="H102" s="3"/>
    </row>
    <row r="103" spans="1:9" x14ac:dyDescent="0.25">
      <c r="A103" s="5"/>
      <c r="B103" s="3"/>
      <c r="C103"/>
      <c r="D103" s="3"/>
      <c r="G103"/>
      <c r="H103" s="3"/>
    </row>
    <row r="104" spans="1:9" x14ac:dyDescent="0.25">
      <c r="A104" s="5"/>
      <c r="B104" s="3"/>
      <c r="D104" s="3"/>
      <c r="F104" s="3"/>
      <c r="G104"/>
      <c r="H104" s="3"/>
    </row>
    <row r="105" spans="1:9" x14ac:dyDescent="0.25">
      <c r="A105" s="3"/>
      <c r="B105" s="6"/>
      <c r="C105" s="9"/>
      <c r="F105" s="3"/>
      <c r="G105" s="3"/>
      <c r="I105" s="18"/>
    </row>
    <row r="107" spans="1:9" x14ac:dyDescent="0.25">
      <c r="A107" s="1"/>
      <c r="B107" s="1"/>
    </row>
    <row r="115" spans="1:9" x14ac:dyDescent="0.25">
      <c r="A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</row>
    <row r="117" spans="1:9" x14ac:dyDescent="0.25">
      <c r="I117" s="18"/>
    </row>
    <row r="118" spans="1:9" x14ac:dyDescent="0.25">
      <c r="A118" s="3"/>
      <c r="B118" s="3"/>
      <c r="G118" s="3"/>
      <c r="H118" s="3"/>
    </row>
    <row r="119" spans="1:9" x14ac:dyDescent="0.25">
      <c r="A119" s="3"/>
      <c r="B119" s="3"/>
      <c r="G119" s="3"/>
      <c r="H119" s="3"/>
    </row>
    <row r="120" spans="1:9" x14ac:dyDescent="0.25">
      <c r="A120" s="3"/>
      <c r="B120" s="6"/>
      <c r="G120" s="3"/>
      <c r="H120" s="3"/>
    </row>
    <row r="121" spans="1:9" x14ac:dyDescent="0.25">
      <c r="A121" s="5"/>
      <c r="B121" s="3"/>
      <c r="C121"/>
      <c r="D121" s="3"/>
      <c r="G121"/>
      <c r="H121" s="3"/>
    </row>
    <row r="122" spans="1:9" x14ac:dyDescent="0.25">
      <c r="A122" s="5"/>
      <c r="B122" s="3"/>
      <c r="D122" s="3"/>
      <c r="F122" s="3"/>
      <c r="G122"/>
      <c r="H122" s="3"/>
    </row>
    <row r="142" spans="1:8" x14ac:dyDescent="0.25">
      <c r="A142" s="3"/>
      <c r="B142" s="3"/>
      <c r="D142" s="3"/>
      <c r="G142" s="3"/>
      <c r="H142" s="3"/>
    </row>
    <row r="143" spans="1:8" x14ac:dyDescent="0.25">
      <c r="A143" s="3"/>
      <c r="B143" s="3"/>
      <c r="D143" s="3"/>
      <c r="G143" s="3"/>
      <c r="H143" s="3"/>
    </row>
    <row r="274" spans="13:13" x14ac:dyDescent="0.25">
      <c r="M274" s="1" t="s">
        <v>1</v>
      </c>
    </row>
    <row r="283" spans="13:13" x14ac:dyDescent="0.25">
      <c r="M283" s="1" t="s">
        <v>1</v>
      </c>
    </row>
    <row r="284" spans="13:13" x14ac:dyDescent="0.25">
      <c r="M284" s="1" t="s">
        <v>1</v>
      </c>
    </row>
    <row r="285" spans="13:13" x14ac:dyDescent="0.25">
      <c r="M285" s="1" t="s">
        <v>1</v>
      </c>
    </row>
    <row r="288" spans="13:13" x14ac:dyDescent="0.25">
      <c r="M288" s="1" t="s">
        <v>1</v>
      </c>
    </row>
    <row r="289" spans="13:13" x14ac:dyDescent="0.25">
      <c r="M289" s="1" t="s">
        <v>1</v>
      </c>
    </row>
    <row r="290" spans="13:13" x14ac:dyDescent="0.25">
      <c r="M290" s="1" t="s">
        <v>1</v>
      </c>
    </row>
    <row r="291" spans="13:13" x14ac:dyDescent="0.25">
      <c r="M291" s="1" t="s">
        <v>1</v>
      </c>
    </row>
    <row r="301" spans="13:13" x14ac:dyDescent="0.25">
      <c r="M301" s="1" t="s">
        <v>1</v>
      </c>
    </row>
    <row r="302" spans="13:13" x14ac:dyDescent="0.25">
      <c r="M302" s="1" t="s">
        <v>1</v>
      </c>
    </row>
    <row r="303" spans="13:13" x14ac:dyDescent="0.25">
      <c r="M303" s="1" t="s">
        <v>1</v>
      </c>
    </row>
    <row r="306" spans="13:13" x14ac:dyDescent="0.25">
      <c r="M306" s="1" t="s">
        <v>1</v>
      </c>
    </row>
    <row r="307" spans="13:13" x14ac:dyDescent="0.25">
      <c r="M307" s="1" t="s">
        <v>1</v>
      </c>
    </row>
    <row r="308" spans="13:13" x14ac:dyDescent="0.25">
      <c r="M308" s="1" t="s">
        <v>1</v>
      </c>
    </row>
    <row r="309" spans="13:13" x14ac:dyDescent="0.25">
      <c r="M309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2025-02-04T02:09:37Z</dcterms:modified>
</cp:coreProperties>
</file>