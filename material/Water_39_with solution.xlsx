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Volumes/ESDgroup/Teaching/01_Lectures/AEA Comp Lab I &amp; II : Tools/2024/02_Uncertainty with AB/"/>
    </mc:Choice>
  </mc:AlternateContent>
  <xr:revisionPtr revIDLastSave="0" documentId="13_ncr:1_{046FCD05-E40D-A24C-8A9D-4EC9096F1188}" xr6:coauthVersionLast="47" xr6:coauthVersionMax="47" xr10:uidLastSave="{00000000-0000-0000-0000-000000000000}"/>
  <bookViews>
    <workbookView xWindow="20280" yWindow="-28300" windowWidth="25600" windowHeight="28300" xr2:uid="{00000000-000D-0000-FFFF-FFFF00000000}"/>
  </bookViews>
  <sheets>
    <sheet name="solu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7" i="2" l="1"/>
  <c r="Y76" i="2"/>
  <c r="V76" i="2"/>
  <c r="W76" i="2"/>
  <c r="X76" i="2"/>
  <c r="Z76" i="2"/>
  <c r="V77" i="2"/>
  <c r="W77" i="2"/>
  <c r="AA77" i="2" s="1"/>
  <c r="K77" i="2" s="1"/>
  <c r="X77" i="2"/>
  <c r="Y77" i="2"/>
  <c r="Z77" i="2"/>
  <c r="W75" i="2"/>
  <c r="X75" i="2"/>
  <c r="Y75" i="2"/>
  <c r="Z75" i="2"/>
  <c r="V75" i="2"/>
  <c r="W64" i="2"/>
  <c r="X64" i="2"/>
  <c r="Y64" i="2"/>
  <c r="Z64" i="2"/>
  <c r="V64" i="2"/>
  <c r="AA64" i="2" s="1"/>
  <c r="W53" i="2"/>
  <c r="X53" i="2"/>
  <c r="Y53" i="2"/>
  <c r="Z53" i="2"/>
  <c r="V53" i="2"/>
  <c r="V41" i="2"/>
  <c r="W41" i="2"/>
  <c r="X41" i="2"/>
  <c r="Y41" i="2"/>
  <c r="Z41" i="2"/>
  <c r="V42" i="2"/>
  <c r="W42" i="2"/>
  <c r="X42" i="2"/>
  <c r="Y42" i="2"/>
  <c r="Z42" i="2"/>
  <c r="W40" i="2"/>
  <c r="X40" i="2"/>
  <c r="Y40" i="2"/>
  <c r="Z40" i="2"/>
  <c r="V40" i="2"/>
  <c r="W28" i="2"/>
  <c r="X28" i="2"/>
  <c r="Y28" i="2"/>
  <c r="Z28" i="2"/>
  <c r="W29" i="2"/>
  <c r="X29" i="2"/>
  <c r="Y29" i="2"/>
  <c r="Z29" i="2"/>
  <c r="X27" i="2"/>
  <c r="Y27" i="2"/>
  <c r="Z27" i="2"/>
  <c r="W27" i="2"/>
  <c r="V27" i="2"/>
  <c r="V28" i="2"/>
  <c r="V29" i="2"/>
  <c r="AB77" i="2"/>
  <c r="J77" i="2"/>
  <c r="AB76" i="2"/>
  <c r="J76" i="2"/>
  <c r="AB75" i="2"/>
  <c r="J75" i="2"/>
  <c r="B67" i="2"/>
  <c r="B74" i="2" s="1"/>
  <c r="AB64" i="2"/>
  <c r="J64" i="2"/>
  <c r="B56" i="2"/>
  <c r="A63" i="2" s="1"/>
  <c r="B63" i="2" s="1"/>
  <c r="AB53" i="2"/>
  <c r="J53" i="2"/>
  <c r="B45" i="2"/>
  <c r="A52" i="2" s="1"/>
  <c r="B52" i="2" s="1"/>
  <c r="AB42" i="2"/>
  <c r="J42" i="2" s="1"/>
  <c r="AB41" i="2"/>
  <c r="J41" i="2"/>
  <c r="AB40" i="2"/>
  <c r="J40" i="2"/>
  <c r="A39" i="2"/>
  <c r="B32" i="2"/>
  <c r="B39" i="2" s="1"/>
  <c r="AB29" i="2"/>
  <c r="J29" i="2"/>
  <c r="AB28" i="2"/>
  <c r="J28" i="2" s="1"/>
  <c r="AB27" i="2"/>
  <c r="J27" i="2"/>
  <c r="B26" i="2"/>
  <c r="B19" i="2"/>
  <c r="A26" i="2" s="1"/>
  <c r="AB16" i="2"/>
  <c r="Z16" i="2"/>
  <c r="Y16" i="2"/>
  <c r="X16" i="2"/>
  <c r="W16" i="2"/>
  <c r="V16" i="2"/>
  <c r="J16" i="2"/>
  <c r="AB15" i="2"/>
  <c r="Z15" i="2"/>
  <c r="Y15" i="2"/>
  <c r="X15" i="2"/>
  <c r="W15" i="2"/>
  <c r="V15" i="2"/>
  <c r="J15" i="2"/>
  <c r="AB14" i="2"/>
  <c r="J14" i="2" s="1"/>
  <c r="Z14" i="2"/>
  <c r="Y14" i="2"/>
  <c r="X14" i="2"/>
  <c r="W14" i="2"/>
  <c r="V14" i="2"/>
  <c r="AA14" i="2" s="1"/>
  <c r="B6" i="2"/>
  <c r="B13" i="2" s="1"/>
  <c r="AA76" i="2" l="1"/>
  <c r="K76" i="2" s="1"/>
  <c r="K64" i="2"/>
  <c r="K27" i="2"/>
  <c r="AA42" i="2"/>
  <c r="K42" i="2" s="1"/>
  <c r="AA15" i="2"/>
  <c r="K15" i="2" s="1"/>
  <c r="AA28" i="2"/>
  <c r="K28" i="2" s="1"/>
  <c r="AA41" i="2"/>
  <c r="K41" i="2" s="1"/>
  <c r="AA53" i="2"/>
  <c r="K53" i="2" s="1"/>
  <c r="K14" i="2"/>
  <c r="AA40" i="2"/>
  <c r="K40" i="2" s="1"/>
  <c r="AA75" i="2"/>
  <c r="K75" i="2" s="1"/>
  <c r="AA16" i="2"/>
  <c r="K16" i="2" s="1"/>
  <c r="AA29" i="2"/>
  <c r="K29" i="2" s="1"/>
  <c r="A74" i="2"/>
  <c r="A13" i="2"/>
</calcChain>
</file>

<file path=xl/sharedStrings.xml><?xml version="1.0" encoding="utf-8"?>
<sst xmlns="http://schemas.openxmlformats.org/spreadsheetml/2006/main" count="334" uniqueCount="62">
  <si>
    <t>cutoff</t>
  </si>
  <si>
    <t>database</t>
  </si>
  <si>
    <t>Activity</t>
  </si>
  <si>
    <t>reference product</t>
  </si>
  <si>
    <t>code</t>
  </si>
  <si>
    <t>location</t>
  </si>
  <si>
    <t>amount</t>
  </si>
  <si>
    <t>unit</t>
  </si>
  <si>
    <t>kg</t>
  </si>
  <si>
    <t>Exchanges</t>
  </si>
  <si>
    <t>name</t>
  </si>
  <si>
    <t>type</t>
  </si>
  <si>
    <t>categories</t>
  </si>
  <si>
    <t>production</t>
  </si>
  <si>
    <t>technosphere</t>
  </si>
  <si>
    <t>RoW</t>
  </si>
  <si>
    <t>electricity, high voltage</t>
  </si>
  <si>
    <t>kilogram</t>
  </si>
  <si>
    <t>kilowatt hour</t>
  </si>
  <si>
    <t>biosphere</t>
  </si>
  <si>
    <t>cubic meter</t>
  </si>
  <si>
    <t>uncertainty type</t>
  </si>
  <si>
    <t>loc</t>
  </si>
  <si>
    <t>scale</t>
  </si>
  <si>
    <t>minimum</t>
  </si>
  <si>
    <t>maximum</t>
  </si>
  <si>
    <t>Indicator value</t>
  </si>
  <si>
    <t>Reliability</t>
  </si>
  <si>
    <t>Completeness</t>
  </si>
  <si>
    <t>Temporal correlation</t>
  </si>
  <si>
    <t>Geographical correlation</t>
  </si>
  <si>
    <t>Technical correlation</t>
  </si>
  <si>
    <t>µ</t>
  </si>
  <si>
    <t>Triangular distribution</t>
  </si>
  <si>
    <t>biosphere3</t>
  </si>
  <si>
    <t>Water, unspecified natural origin</t>
  </si>
  <si>
    <t>natural resource::in ground</t>
  </si>
  <si>
    <t>Water_39</t>
  </si>
  <si>
    <t>US</t>
  </si>
  <si>
    <t>electricity production, deep geothermal</t>
  </si>
  <si>
    <t>US-WECC</t>
  </si>
  <si>
    <t>market for wastewater, average</t>
  </si>
  <si>
    <t>wastewater, average</t>
  </si>
  <si>
    <t>Water_RO</t>
  </si>
  <si>
    <t>DE</t>
  </si>
  <si>
    <t>water_RO_US</t>
  </si>
  <si>
    <t>water_RO_DE</t>
  </si>
  <si>
    <t>Water_US</t>
  </si>
  <si>
    <t>Water_US_m</t>
  </si>
  <si>
    <t>water_RO_US_m</t>
  </si>
  <si>
    <t>market for electricity, high voltage</t>
  </si>
  <si>
    <t>Geothermal heat</t>
  </si>
  <si>
    <t>geo_heat</t>
  </si>
  <si>
    <t>megajoule</t>
  </si>
  <si>
    <t>geo_heat_DE</t>
  </si>
  <si>
    <t>Water_DE_m</t>
  </si>
  <si>
    <t>water_RO_DE_m</t>
  </si>
  <si>
    <t>compatible with ecoinvent 3.9.1</t>
  </si>
  <si>
    <t>comments</t>
  </si>
  <si>
    <t>year</t>
  </si>
  <si>
    <t>cutoff391</t>
  </si>
  <si>
    <t>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</si>
</sst>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460549</xdr:colOff>
      <xdr:row>11</xdr:row>
      <xdr:rowOff>167472</xdr:rowOff>
    </xdr:from>
    <xdr:to>
      <xdr:col>44</xdr:col>
      <xdr:colOff>651162</xdr:colOff>
      <xdr:row>34</xdr:row>
      <xdr:rowOff>97692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82ADD15-80B7-7C0C-495E-55E8E4A68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7912" y="2302747"/>
          <a:ext cx="9569074" cy="43961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03C6-AB27-4212-82A7-FACD222076DD}">
  <dimension ref="A1:AD121"/>
  <sheetViews>
    <sheetView tabSelected="1" topLeftCell="Y1" zoomScale="91" zoomScaleNormal="55" workbookViewId="0">
      <selection activeCell="N50" sqref="N50"/>
    </sheetView>
  </sheetViews>
  <sheetFormatPr baseColWidth="10" defaultColWidth="8.83203125" defaultRowHeight="15" x14ac:dyDescent="0.2"/>
  <cols>
    <col min="1" max="1" width="39.83203125" customWidth="1"/>
    <col min="2" max="2" width="33.1640625" customWidth="1"/>
    <col min="3" max="3" width="13.1640625" customWidth="1"/>
    <col min="4" max="4" width="10.33203125" customWidth="1"/>
    <col min="5" max="5" width="15.5" customWidth="1"/>
    <col min="6" max="6" width="13.5" customWidth="1"/>
    <col min="7" max="7" width="15" customWidth="1"/>
    <col min="8" max="8" width="11.83203125" customWidth="1"/>
    <col min="9" max="9" width="16.6640625" customWidth="1"/>
    <col min="12" max="12" width="10.5" customWidth="1"/>
    <col min="13" max="13" width="11.1640625" customWidth="1"/>
    <col min="15" max="15" width="13.33203125" customWidth="1"/>
    <col min="16" max="16" width="10.1640625" customWidth="1"/>
    <col min="17" max="17" width="12.6640625" customWidth="1"/>
    <col min="18" max="18" width="8.6640625" customWidth="1"/>
    <col min="19" max="19" width="11.83203125" customWidth="1"/>
    <col min="20" max="20" width="9.1640625" customWidth="1"/>
    <col min="22" max="22" width="9.33203125" customWidth="1"/>
    <col min="23" max="23" width="12" customWidth="1"/>
    <col min="24" max="24" width="8.83203125" customWidth="1"/>
    <col min="25" max="25" width="11.6640625" customWidth="1"/>
  </cols>
  <sheetData>
    <row r="1" spans="1:29" x14ac:dyDescent="0.2">
      <c r="A1" s="6" t="s">
        <v>0</v>
      </c>
      <c r="B1" s="6">
        <v>14</v>
      </c>
    </row>
    <row r="2" spans="1:29" x14ac:dyDescent="0.2">
      <c r="A2" s="6" t="s">
        <v>1</v>
      </c>
      <c r="B2" s="6" t="s">
        <v>37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</row>
    <row r="3" spans="1:29" x14ac:dyDescent="0.2">
      <c r="A3" s="6" t="s">
        <v>59</v>
      </c>
      <c r="B3" s="6">
        <v>2023</v>
      </c>
      <c r="O3" s="1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</row>
    <row r="4" spans="1:29" x14ac:dyDescent="0.2">
      <c r="A4" s="6" t="s">
        <v>58</v>
      </c>
      <c r="B4" s="6" t="s">
        <v>57</v>
      </c>
      <c r="O4" s="1">
        <v>2</v>
      </c>
      <c r="P4" s="2">
        <v>1.05</v>
      </c>
      <c r="Q4" s="2">
        <v>1.02</v>
      </c>
      <c r="R4" s="2">
        <v>1.03</v>
      </c>
      <c r="S4" s="2">
        <v>1.01</v>
      </c>
      <c r="T4" s="2">
        <v>1.05</v>
      </c>
    </row>
    <row r="5" spans="1:29" x14ac:dyDescent="0.2">
      <c r="A5" t="s">
        <v>2</v>
      </c>
      <c r="B5" t="s">
        <v>47</v>
      </c>
      <c r="O5" s="1">
        <v>3</v>
      </c>
      <c r="P5" s="2">
        <v>1.1000000000000001</v>
      </c>
      <c r="Q5" s="2">
        <v>1.05</v>
      </c>
      <c r="R5" s="2">
        <v>1.1000000000000001</v>
      </c>
      <c r="S5" s="2">
        <v>1.02</v>
      </c>
      <c r="T5" s="2">
        <v>1.2</v>
      </c>
    </row>
    <row r="6" spans="1:29" x14ac:dyDescent="0.2">
      <c r="A6" t="s">
        <v>3</v>
      </c>
      <c r="B6" t="str">
        <f>B5</f>
        <v>Water_US</v>
      </c>
      <c r="O6" s="1">
        <v>4</v>
      </c>
      <c r="P6" s="2">
        <v>1.2</v>
      </c>
      <c r="Q6" s="2">
        <v>1.1000000000000001</v>
      </c>
      <c r="R6" s="2">
        <v>1.2</v>
      </c>
      <c r="S6" s="2">
        <v>1.05</v>
      </c>
      <c r="T6" s="2">
        <v>1.5</v>
      </c>
    </row>
    <row r="7" spans="1:29" x14ac:dyDescent="0.2">
      <c r="A7" t="s">
        <v>4</v>
      </c>
      <c r="B7" t="s">
        <v>45</v>
      </c>
      <c r="O7" s="1">
        <v>5</v>
      </c>
      <c r="P7" s="2">
        <v>1.5</v>
      </c>
      <c r="Q7" s="2">
        <v>1.2</v>
      </c>
      <c r="R7" s="2">
        <v>1.5</v>
      </c>
      <c r="S7" s="2">
        <v>1.1000000000000001</v>
      </c>
      <c r="T7" s="2">
        <v>2</v>
      </c>
    </row>
    <row r="8" spans="1:29" x14ac:dyDescent="0.2">
      <c r="A8" t="s">
        <v>5</v>
      </c>
      <c r="B8" t="s">
        <v>38</v>
      </c>
    </row>
    <row r="9" spans="1:29" x14ac:dyDescent="0.2">
      <c r="A9" t="s">
        <v>6</v>
      </c>
      <c r="B9">
        <v>1</v>
      </c>
    </row>
    <row r="10" spans="1:29" ht="14" customHeight="1" x14ac:dyDescent="0.2">
      <c r="A10" t="s">
        <v>7</v>
      </c>
      <c r="B10" t="s">
        <v>8</v>
      </c>
    </row>
    <row r="11" spans="1:29" x14ac:dyDescent="0.2">
      <c r="A11" t="s">
        <v>9</v>
      </c>
      <c r="W11">
        <v>0</v>
      </c>
      <c r="X11">
        <v>1</v>
      </c>
      <c r="Y11">
        <v>2</v>
      </c>
      <c r="Z11">
        <v>3</v>
      </c>
      <c r="AA11">
        <v>4</v>
      </c>
    </row>
    <row r="12" spans="1:29" x14ac:dyDescent="0.2">
      <c r="A12" t="s">
        <v>10</v>
      </c>
      <c r="B12" t="s">
        <v>3</v>
      </c>
      <c r="C12" t="s">
        <v>5</v>
      </c>
      <c r="D12" t="s">
        <v>6</v>
      </c>
      <c r="E12" t="s">
        <v>7</v>
      </c>
      <c r="F12" t="s">
        <v>1</v>
      </c>
      <c r="G12" t="s">
        <v>11</v>
      </c>
      <c r="H12" t="s">
        <v>12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P12" s="3" t="s">
        <v>27</v>
      </c>
      <c r="Q12" s="3" t="s">
        <v>28</v>
      </c>
      <c r="R12" s="3" t="s">
        <v>29</v>
      </c>
      <c r="S12" s="3" t="s">
        <v>30</v>
      </c>
      <c r="T12" s="3" t="s">
        <v>31</v>
      </c>
      <c r="U12" s="3"/>
      <c r="V12" s="3" t="s">
        <v>27</v>
      </c>
      <c r="W12" s="3" t="s">
        <v>28</v>
      </c>
      <c r="X12" s="3" t="s">
        <v>29</v>
      </c>
      <c r="Y12" s="3" t="s">
        <v>30</v>
      </c>
      <c r="Z12" s="3" t="s">
        <v>31</v>
      </c>
      <c r="AA12" s="3" t="s">
        <v>61</v>
      </c>
      <c r="AB12" s="4" t="s">
        <v>32</v>
      </c>
      <c r="AC12" s="3" t="s">
        <v>33</v>
      </c>
    </row>
    <row r="13" spans="1:29" x14ac:dyDescent="0.2">
      <c r="A13" t="str">
        <f>B6</f>
        <v>Water_US</v>
      </c>
      <c r="B13" t="str">
        <f>B6</f>
        <v>Water_US</v>
      </c>
      <c r="C13" t="s">
        <v>38</v>
      </c>
      <c r="D13">
        <v>1</v>
      </c>
      <c r="E13" t="s">
        <v>17</v>
      </c>
      <c r="F13" t="s">
        <v>37</v>
      </c>
      <c r="G13" t="s">
        <v>13</v>
      </c>
    </row>
    <row r="14" spans="1:29" x14ac:dyDescent="0.2">
      <c r="A14" t="s">
        <v>39</v>
      </c>
      <c r="B14" t="s">
        <v>16</v>
      </c>
      <c r="C14" t="s">
        <v>40</v>
      </c>
      <c r="D14">
        <v>7.2059999999999997E-3</v>
      </c>
      <c r="E14" t="s">
        <v>18</v>
      </c>
      <c r="F14" t="s">
        <v>60</v>
      </c>
      <c r="G14" t="s">
        <v>14</v>
      </c>
      <c r="I14" s="3">
        <v>2</v>
      </c>
      <c r="J14" s="3">
        <f>AB14</f>
        <v>-4.9328412666562356</v>
      </c>
      <c r="K14" s="3">
        <f>AA14</f>
        <v>0.26134719937413325</v>
      </c>
      <c r="P14">
        <v>4</v>
      </c>
      <c r="Q14">
        <v>5</v>
      </c>
      <c r="R14">
        <v>5</v>
      </c>
      <c r="S14">
        <v>5</v>
      </c>
      <c r="T14">
        <v>3</v>
      </c>
      <c r="V14">
        <f t="shared" ref="V14:Z16" si="0">+VLOOKUP(P14, $O$2:$T$7, 2+W$11,0)</f>
        <v>1.2</v>
      </c>
      <c r="W14">
        <f t="shared" si="0"/>
        <v>1.2</v>
      </c>
      <c r="X14">
        <f t="shared" si="0"/>
        <v>1.5</v>
      </c>
      <c r="Y14">
        <f t="shared" si="0"/>
        <v>1.1000000000000001</v>
      </c>
      <c r="Z14">
        <f t="shared" si="0"/>
        <v>1.2</v>
      </c>
      <c r="AA14">
        <f>SQRT((LN(V14))^2+LN(W14)^2+LN(X14)^2+LN(Y14)^2+LN(Z14)^2)/2</f>
        <v>0.26134719937413325</v>
      </c>
      <c r="AB14">
        <f>LN(D14)</f>
        <v>-4.9328412666562356</v>
      </c>
    </row>
    <row r="15" spans="1:29" x14ac:dyDescent="0.2">
      <c r="A15" t="s">
        <v>35</v>
      </c>
      <c r="D15">
        <v>2.5000000000000001E-4</v>
      </c>
      <c r="E15" t="s">
        <v>20</v>
      </c>
      <c r="F15" t="s">
        <v>34</v>
      </c>
      <c r="G15" t="s">
        <v>19</v>
      </c>
      <c r="H15" t="s">
        <v>36</v>
      </c>
      <c r="I15" s="3">
        <v>2</v>
      </c>
      <c r="J15" s="3">
        <f t="shared" ref="J15:J16" si="1">AB15</f>
        <v>-8.2940496401020276</v>
      </c>
      <c r="K15" s="3">
        <f t="shared" ref="K15:K16" si="2">AA15</f>
        <v>0.26134719937413325</v>
      </c>
      <c r="P15">
        <v>4</v>
      </c>
      <c r="Q15">
        <v>5</v>
      </c>
      <c r="R15">
        <v>5</v>
      </c>
      <c r="S15">
        <v>5</v>
      </c>
      <c r="T15">
        <v>3</v>
      </c>
      <c r="V15">
        <f t="shared" si="0"/>
        <v>1.2</v>
      </c>
      <c r="W15">
        <f t="shared" si="0"/>
        <v>1.2</v>
      </c>
      <c r="X15">
        <f t="shared" si="0"/>
        <v>1.5</v>
      </c>
      <c r="Y15">
        <f t="shared" si="0"/>
        <v>1.1000000000000001</v>
      </c>
      <c r="Z15">
        <f t="shared" si="0"/>
        <v>1.2</v>
      </c>
      <c r="AA15">
        <f>SQRT((LN(V15))^2+LN(W15)^2+LN(X15)^2+LN(Y15)^2+LN(Z15)^2)/2</f>
        <v>0.26134719937413325</v>
      </c>
      <c r="AB15">
        <f>LN(D15)</f>
        <v>-8.2940496401020276</v>
      </c>
    </row>
    <row r="16" spans="1:29" x14ac:dyDescent="0.2">
      <c r="A16" t="s">
        <v>41</v>
      </c>
      <c r="B16" t="s">
        <v>42</v>
      </c>
      <c r="C16" t="s">
        <v>15</v>
      </c>
      <c r="D16">
        <v>-2.5000000000000001E-4</v>
      </c>
      <c r="E16" t="s">
        <v>20</v>
      </c>
      <c r="F16" t="s">
        <v>60</v>
      </c>
      <c r="G16" t="s">
        <v>14</v>
      </c>
      <c r="I16" s="3">
        <v>2</v>
      </c>
      <c r="J16" s="3">
        <f t="shared" si="1"/>
        <v>-8.2940496401020276</v>
      </c>
      <c r="K16" s="3">
        <f t="shared" si="2"/>
        <v>0.26134719937413325</v>
      </c>
      <c r="P16">
        <v>4</v>
      </c>
      <c r="Q16">
        <v>5</v>
      </c>
      <c r="R16">
        <v>5</v>
      </c>
      <c r="S16">
        <v>5</v>
      </c>
      <c r="T16">
        <v>3</v>
      </c>
      <c r="V16">
        <f t="shared" si="0"/>
        <v>1.2</v>
      </c>
      <c r="W16">
        <f t="shared" si="0"/>
        <v>1.2</v>
      </c>
      <c r="X16">
        <f t="shared" si="0"/>
        <v>1.5</v>
      </c>
      <c r="Y16">
        <f t="shared" si="0"/>
        <v>1.1000000000000001</v>
      </c>
      <c r="Z16">
        <f t="shared" si="0"/>
        <v>1.2</v>
      </c>
      <c r="AA16">
        <f>SQRT((LN(V16))^2+LN(W16)^2+LN(X16)^2+LN(Y16)^2+LN(Z16)^2)/2</f>
        <v>0.26134719937413325</v>
      </c>
      <c r="AB16">
        <f>LN(-D16)</f>
        <v>-8.2940496401020276</v>
      </c>
    </row>
    <row r="17" spans="1:30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">
      <c r="A18" t="s">
        <v>2</v>
      </c>
      <c r="B18" t="s">
        <v>43</v>
      </c>
    </row>
    <row r="19" spans="1:30" x14ac:dyDescent="0.2">
      <c r="A19" t="s">
        <v>3</v>
      </c>
      <c r="B19" t="str">
        <f>B18</f>
        <v>Water_RO</v>
      </c>
    </row>
    <row r="20" spans="1:30" x14ac:dyDescent="0.2">
      <c r="A20" t="s">
        <v>4</v>
      </c>
      <c r="B20" t="s">
        <v>46</v>
      </c>
    </row>
    <row r="21" spans="1:30" x14ac:dyDescent="0.2">
      <c r="A21" t="s">
        <v>5</v>
      </c>
      <c r="B21" t="s">
        <v>44</v>
      </c>
    </row>
    <row r="22" spans="1:30" ht="14" customHeight="1" x14ac:dyDescent="0.2">
      <c r="A22" t="s">
        <v>6</v>
      </c>
      <c r="B22">
        <v>1</v>
      </c>
    </row>
    <row r="23" spans="1:30" x14ac:dyDescent="0.2">
      <c r="A23" t="s">
        <v>7</v>
      </c>
      <c r="B23" t="s">
        <v>8</v>
      </c>
    </row>
    <row r="24" spans="1:30" x14ac:dyDescent="0.2">
      <c r="A24" t="s">
        <v>9</v>
      </c>
      <c r="W24">
        <v>0</v>
      </c>
      <c r="X24">
        <v>1</v>
      </c>
      <c r="Y24">
        <v>2</v>
      </c>
      <c r="Z24">
        <v>3</v>
      </c>
      <c r="AA24">
        <v>4</v>
      </c>
    </row>
    <row r="25" spans="1:30" x14ac:dyDescent="0.2">
      <c r="A25" t="s">
        <v>10</v>
      </c>
      <c r="B25" t="s">
        <v>3</v>
      </c>
      <c r="C25" t="s">
        <v>5</v>
      </c>
      <c r="D25" t="s">
        <v>6</v>
      </c>
      <c r="E25" t="s">
        <v>7</v>
      </c>
      <c r="F25" t="s">
        <v>1</v>
      </c>
      <c r="G25" t="s">
        <v>11</v>
      </c>
      <c r="H25" t="s">
        <v>12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  <c r="P25" s="3" t="s">
        <v>27</v>
      </c>
      <c r="Q25" s="3" t="s">
        <v>28</v>
      </c>
      <c r="R25" s="3" t="s">
        <v>29</v>
      </c>
      <c r="S25" s="3" t="s">
        <v>30</v>
      </c>
      <c r="T25" s="3" t="s">
        <v>31</v>
      </c>
      <c r="U25" s="3"/>
      <c r="V25" s="3" t="s">
        <v>27</v>
      </c>
      <c r="W25" s="3" t="s">
        <v>28</v>
      </c>
      <c r="X25" s="3" t="s">
        <v>29</v>
      </c>
      <c r="Y25" s="3" t="s">
        <v>30</v>
      </c>
      <c r="Z25" s="3" t="s">
        <v>31</v>
      </c>
      <c r="AA25" s="3" t="s">
        <v>61</v>
      </c>
      <c r="AB25" s="4" t="s">
        <v>32</v>
      </c>
      <c r="AC25" s="3" t="s">
        <v>33</v>
      </c>
    </row>
    <row r="26" spans="1:30" x14ac:dyDescent="0.2">
      <c r="A26" t="str">
        <f>B19</f>
        <v>Water_RO</v>
      </c>
      <c r="B26" t="str">
        <f>B19</f>
        <v>Water_RO</v>
      </c>
      <c r="C26" t="s">
        <v>44</v>
      </c>
      <c r="D26">
        <v>1</v>
      </c>
      <c r="E26" t="s">
        <v>17</v>
      </c>
      <c r="F26" t="s">
        <v>37</v>
      </c>
      <c r="G26" t="s">
        <v>13</v>
      </c>
    </row>
    <row r="27" spans="1:30" x14ac:dyDescent="0.2">
      <c r="A27" t="s">
        <v>39</v>
      </c>
      <c r="B27" t="s">
        <v>16</v>
      </c>
      <c r="C27" t="s">
        <v>44</v>
      </c>
      <c r="D27">
        <v>7.2059999999999997E-3</v>
      </c>
      <c r="E27" t="s">
        <v>18</v>
      </c>
      <c r="F27" t="s">
        <v>60</v>
      </c>
      <c r="G27" t="s">
        <v>14</v>
      </c>
      <c r="I27" s="3">
        <v>2</v>
      </c>
      <c r="J27" s="3">
        <f>AB27</f>
        <v>-4.9328412666562356</v>
      </c>
      <c r="K27" s="3">
        <f>AA27</f>
        <v>0.26134719937413325</v>
      </c>
      <c r="P27">
        <v>4</v>
      </c>
      <c r="Q27">
        <v>5</v>
      </c>
      <c r="R27">
        <v>5</v>
      </c>
      <c r="S27">
        <v>5</v>
      </c>
      <c r="T27">
        <v>3</v>
      </c>
      <c r="V27">
        <f>+VLOOKUP(P27, $O$2:$T$7, 2+W$24,0)</f>
        <v>1.2</v>
      </c>
      <c r="W27">
        <f>+VLOOKUP(Q27, $O$2:$T$7, 2+X$24,0)</f>
        <v>1.2</v>
      </c>
      <c r="X27">
        <f t="shared" ref="X27:Z27" si="3">+VLOOKUP(R27, $O$2:$T$7, 2+Y$24,0)</f>
        <v>1.5</v>
      </c>
      <c r="Y27">
        <f t="shared" si="3"/>
        <v>1.1000000000000001</v>
      </c>
      <c r="Z27">
        <f t="shared" si="3"/>
        <v>1.2</v>
      </c>
      <c r="AA27">
        <f>SQRT((LN(V27))^2+LN(W27)^2+LN(X27)^2+LN(Y27)^2+LN(Z27)^2)/2</f>
        <v>0.26134719937413325</v>
      </c>
      <c r="AB27">
        <f>LN(D27)</f>
        <v>-4.9328412666562356</v>
      </c>
    </row>
    <row r="28" spans="1:30" x14ac:dyDescent="0.2">
      <c r="A28" t="s">
        <v>35</v>
      </c>
      <c r="D28">
        <v>2.5000000000000001E-4</v>
      </c>
      <c r="E28" t="s">
        <v>20</v>
      </c>
      <c r="F28" t="s">
        <v>34</v>
      </c>
      <c r="G28" t="s">
        <v>19</v>
      </c>
      <c r="H28" t="s">
        <v>36</v>
      </c>
      <c r="I28" s="3">
        <v>2</v>
      </c>
      <c r="J28" s="3">
        <f t="shared" ref="J28:J29" si="4">AB28</f>
        <v>-8.2940496401020276</v>
      </c>
      <c r="K28" s="3">
        <f t="shared" ref="K28:K29" si="5">AA28</f>
        <v>0.26134719937413325</v>
      </c>
      <c r="P28">
        <v>4</v>
      </c>
      <c r="Q28">
        <v>5</v>
      </c>
      <c r="R28">
        <v>5</v>
      </c>
      <c r="S28">
        <v>5</v>
      </c>
      <c r="T28">
        <v>3</v>
      </c>
      <c r="V28">
        <f>+VLOOKUP(P28, $O$2:$T$7, 2+W$24,0)</f>
        <v>1.2</v>
      </c>
      <c r="W28">
        <f t="shared" ref="W28:W29" si="6">+VLOOKUP(Q28, $O$2:$T$7, 2+X$24,0)</f>
        <v>1.2</v>
      </c>
      <c r="X28">
        <f t="shared" ref="X28:X29" si="7">+VLOOKUP(R28, $O$2:$T$7, 2+Y$24,0)</f>
        <v>1.5</v>
      </c>
      <c r="Y28">
        <f t="shared" ref="Y28:Y29" si="8">+VLOOKUP(S28, $O$2:$T$7, 2+Z$24,0)</f>
        <v>1.1000000000000001</v>
      </c>
      <c r="Z28">
        <f t="shared" ref="Z28:Z29" si="9">+VLOOKUP(T28, $O$2:$T$7, 2+AA$24,0)</f>
        <v>1.2</v>
      </c>
      <c r="AA28">
        <f>SQRT((LN(V28))^2+LN(W28)^2+LN(X28)^2+LN(Y28)^2+LN(Z28)^2)/2</f>
        <v>0.26134719937413325</v>
      </c>
      <c r="AB28">
        <f>LN(D28)</f>
        <v>-8.2940496401020276</v>
      </c>
    </row>
    <row r="29" spans="1:30" x14ac:dyDescent="0.2">
      <c r="A29" t="s">
        <v>41</v>
      </c>
      <c r="B29" t="s">
        <v>42</v>
      </c>
      <c r="C29" t="s">
        <v>15</v>
      </c>
      <c r="D29">
        <v>-2.5000000000000001E-4</v>
      </c>
      <c r="E29" t="s">
        <v>20</v>
      </c>
      <c r="F29" t="s">
        <v>60</v>
      </c>
      <c r="G29" t="s">
        <v>14</v>
      </c>
      <c r="I29" s="3">
        <v>2</v>
      </c>
      <c r="J29" s="3">
        <f t="shared" si="4"/>
        <v>-8.2940496401020276</v>
      </c>
      <c r="K29" s="3">
        <f t="shared" si="5"/>
        <v>0.26134719937413325</v>
      </c>
      <c r="P29">
        <v>4</v>
      </c>
      <c r="Q29">
        <v>5</v>
      </c>
      <c r="R29">
        <v>5</v>
      </c>
      <c r="S29">
        <v>5</v>
      </c>
      <c r="T29">
        <v>3</v>
      </c>
      <c r="V29">
        <f>+VLOOKUP(P29, $O$2:$T$7, 2+W$24,0)</f>
        <v>1.2</v>
      </c>
      <c r="W29">
        <f t="shared" si="6"/>
        <v>1.2</v>
      </c>
      <c r="X29">
        <f t="shared" si="7"/>
        <v>1.5</v>
      </c>
      <c r="Y29">
        <f t="shared" si="8"/>
        <v>1.1000000000000001</v>
      </c>
      <c r="Z29">
        <f t="shared" si="9"/>
        <v>1.2</v>
      </c>
      <c r="AA29">
        <f>SQRT((LN(V29))^2+LN(W29)^2+LN(X29)^2+LN(Y29)^2+LN(Z29)^2)/2</f>
        <v>0.26134719937413325</v>
      </c>
      <c r="AB29">
        <f>LN(-D29)</f>
        <v>-8.2940496401020276</v>
      </c>
    </row>
    <row r="30" spans="1:30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">
      <c r="A31" t="s">
        <v>2</v>
      </c>
      <c r="B31" t="s">
        <v>48</v>
      </c>
    </row>
    <row r="32" spans="1:30" x14ac:dyDescent="0.2">
      <c r="A32" t="s">
        <v>3</v>
      </c>
      <c r="B32" t="str">
        <f>B31</f>
        <v>Water_US_m</v>
      </c>
    </row>
    <row r="33" spans="1:30" x14ac:dyDescent="0.2">
      <c r="A33" t="s">
        <v>4</v>
      </c>
      <c r="B33" t="s">
        <v>49</v>
      </c>
    </row>
    <row r="34" spans="1:30" ht="14" customHeight="1" x14ac:dyDescent="0.2">
      <c r="A34" t="s">
        <v>5</v>
      </c>
      <c r="B34" t="s">
        <v>38</v>
      </c>
    </row>
    <row r="35" spans="1:30" x14ac:dyDescent="0.2">
      <c r="A35" t="s">
        <v>6</v>
      </c>
      <c r="B35">
        <v>1</v>
      </c>
    </row>
    <row r="36" spans="1:30" x14ac:dyDescent="0.2">
      <c r="A36" t="s">
        <v>7</v>
      </c>
      <c r="B36" t="s">
        <v>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4"/>
      <c r="AC36" s="3"/>
    </row>
    <row r="37" spans="1:30" x14ac:dyDescent="0.2">
      <c r="A37" t="s">
        <v>9</v>
      </c>
      <c r="W37">
        <v>0</v>
      </c>
      <c r="X37">
        <v>1</v>
      </c>
      <c r="Y37">
        <v>2</v>
      </c>
      <c r="Z37">
        <v>3</v>
      </c>
      <c r="AA37">
        <v>4</v>
      </c>
    </row>
    <row r="38" spans="1:30" x14ac:dyDescent="0.2">
      <c r="A38" t="s">
        <v>10</v>
      </c>
      <c r="B38" t="s">
        <v>3</v>
      </c>
      <c r="C38" t="s">
        <v>5</v>
      </c>
      <c r="D38" t="s">
        <v>6</v>
      </c>
      <c r="E38" t="s">
        <v>7</v>
      </c>
      <c r="F38" t="s">
        <v>1</v>
      </c>
      <c r="G38" t="s">
        <v>11</v>
      </c>
      <c r="H38" t="s">
        <v>12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P38" s="3" t="s">
        <v>27</v>
      </c>
      <c r="Q38" s="3" t="s">
        <v>28</v>
      </c>
      <c r="R38" s="3" t="s">
        <v>29</v>
      </c>
      <c r="S38" s="3" t="s">
        <v>30</v>
      </c>
      <c r="T38" s="3" t="s">
        <v>31</v>
      </c>
      <c r="U38" s="3"/>
      <c r="V38" s="3" t="s">
        <v>27</v>
      </c>
      <c r="W38" s="3" t="s">
        <v>28</v>
      </c>
      <c r="X38" s="3" t="s">
        <v>29</v>
      </c>
      <c r="Y38" s="3" t="s">
        <v>30</v>
      </c>
      <c r="Z38" s="3" t="s">
        <v>31</v>
      </c>
      <c r="AA38" s="3" t="s">
        <v>61</v>
      </c>
      <c r="AB38" s="4" t="s">
        <v>32</v>
      </c>
    </row>
    <row r="39" spans="1:30" x14ac:dyDescent="0.2">
      <c r="A39" t="str">
        <f>B32</f>
        <v>Water_US_m</v>
      </c>
      <c r="B39" t="str">
        <f>B32</f>
        <v>Water_US_m</v>
      </c>
      <c r="C39" t="s">
        <v>38</v>
      </c>
      <c r="D39">
        <v>1</v>
      </c>
      <c r="E39" t="s">
        <v>17</v>
      </c>
      <c r="F39" t="s">
        <v>37</v>
      </c>
      <c r="G39" t="s">
        <v>13</v>
      </c>
    </row>
    <row r="40" spans="1:30" x14ac:dyDescent="0.2">
      <c r="A40" t="s">
        <v>50</v>
      </c>
      <c r="B40" t="s">
        <v>16</v>
      </c>
      <c r="C40" t="s">
        <v>40</v>
      </c>
      <c r="D40">
        <v>7.2059999999999997E-3</v>
      </c>
      <c r="E40" t="s">
        <v>18</v>
      </c>
      <c r="F40" t="s">
        <v>60</v>
      </c>
      <c r="G40" t="s">
        <v>14</v>
      </c>
      <c r="I40" s="3">
        <v>2</v>
      </c>
      <c r="J40" s="3">
        <f>AB40</f>
        <v>-4.9328412666562356</v>
      </c>
      <c r="K40" s="3">
        <f>AA40</f>
        <v>0.26134719937413325</v>
      </c>
      <c r="P40">
        <v>4</v>
      </c>
      <c r="Q40">
        <v>5</v>
      </c>
      <c r="R40">
        <v>5</v>
      </c>
      <c r="S40">
        <v>5</v>
      </c>
      <c r="T40">
        <v>3</v>
      </c>
      <c r="V40">
        <f>+VLOOKUP(P40, $O$2:$T$7, 2+W$37,0)</f>
        <v>1.2</v>
      </c>
      <c r="W40">
        <f t="shared" ref="W40:Z40" si="10">+VLOOKUP(Q40, $O$2:$T$7, 2+X$37,0)</f>
        <v>1.2</v>
      </c>
      <c r="X40">
        <f t="shared" si="10"/>
        <v>1.5</v>
      </c>
      <c r="Y40">
        <f t="shared" si="10"/>
        <v>1.1000000000000001</v>
      </c>
      <c r="Z40">
        <f t="shared" si="10"/>
        <v>1.2</v>
      </c>
      <c r="AA40">
        <f>SQRT((LN(V40))^2+LN(W40)^2+LN(X40)^2+LN(Y40)^2+LN(Z40)^2)/2</f>
        <v>0.26134719937413325</v>
      </c>
      <c r="AB40">
        <f>LN(D40)</f>
        <v>-4.9328412666562356</v>
      </c>
    </row>
    <row r="41" spans="1:30" x14ac:dyDescent="0.2">
      <c r="A41" t="s">
        <v>35</v>
      </c>
      <c r="D41">
        <v>2.5000000000000001E-4</v>
      </c>
      <c r="E41" t="s">
        <v>20</v>
      </c>
      <c r="F41" t="s">
        <v>34</v>
      </c>
      <c r="G41" t="s">
        <v>19</v>
      </c>
      <c r="H41" t="s">
        <v>36</v>
      </c>
      <c r="I41" s="3">
        <v>2</v>
      </c>
      <c r="J41" s="3">
        <f t="shared" ref="J41:J42" si="11">AB41</f>
        <v>-8.2940496401020276</v>
      </c>
      <c r="K41" s="3">
        <f t="shared" ref="K41:K42" si="12">AA41</f>
        <v>0.26134719937413325</v>
      </c>
      <c r="P41">
        <v>4</v>
      </c>
      <c r="Q41">
        <v>5</v>
      </c>
      <c r="R41">
        <v>5</v>
      </c>
      <c r="S41">
        <v>5</v>
      </c>
      <c r="T41">
        <v>3</v>
      </c>
      <c r="V41">
        <f t="shared" ref="V41:V42" si="13">+VLOOKUP(P41, $O$2:$T$7, 2+W$37,0)</f>
        <v>1.2</v>
      </c>
      <c r="W41">
        <f t="shared" ref="W41:W42" si="14">+VLOOKUP(Q41, $O$2:$T$7, 2+X$37,0)</f>
        <v>1.2</v>
      </c>
      <c r="X41">
        <f t="shared" ref="X41:X42" si="15">+VLOOKUP(R41, $O$2:$T$7, 2+Y$37,0)</f>
        <v>1.5</v>
      </c>
      <c r="Y41">
        <f t="shared" ref="Y41:Y42" si="16">+VLOOKUP(S41, $O$2:$T$7, 2+Z$37,0)</f>
        <v>1.1000000000000001</v>
      </c>
      <c r="Z41">
        <f t="shared" ref="Z41:Z42" si="17">+VLOOKUP(T41, $O$2:$T$7, 2+AA$37,0)</f>
        <v>1.2</v>
      </c>
      <c r="AA41">
        <f>SQRT((LN(V41))^2+LN(W41)^2+LN(X41)^2+LN(Y41)^2+LN(Z41)^2)/2</f>
        <v>0.26134719937413325</v>
      </c>
      <c r="AB41">
        <f>LN(D41)</f>
        <v>-8.2940496401020276</v>
      </c>
    </row>
    <row r="42" spans="1:30" x14ac:dyDescent="0.2">
      <c r="A42" t="s">
        <v>41</v>
      </c>
      <c r="B42" t="s">
        <v>42</v>
      </c>
      <c r="C42" t="s">
        <v>15</v>
      </c>
      <c r="D42">
        <v>-2.5000000000000001E-4</v>
      </c>
      <c r="E42" t="s">
        <v>20</v>
      </c>
      <c r="F42" t="s">
        <v>60</v>
      </c>
      <c r="G42" t="s">
        <v>14</v>
      </c>
      <c r="I42" s="3">
        <v>2</v>
      </c>
      <c r="J42" s="3">
        <f t="shared" si="11"/>
        <v>-8.2940496401020276</v>
      </c>
      <c r="K42" s="3">
        <f t="shared" si="12"/>
        <v>0.26134719937413325</v>
      </c>
      <c r="P42">
        <v>4</v>
      </c>
      <c r="Q42">
        <v>5</v>
      </c>
      <c r="R42">
        <v>5</v>
      </c>
      <c r="S42">
        <v>5</v>
      </c>
      <c r="T42">
        <v>3</v>
      </c>
      <c r="V42">
        <f t="shared" si="13"/>
        <v>1.2</v>
      </c>
      <c r="W42">
        <f t="shared" si="14"/>
        <v>1.2</v>
      </c>
      <c r="X42">
        <f t="shared" si="15"/>
        <v>1.5</v>
      </c>
      <c r="Y42">
        <f t="shared" si="16"/>
        <v>1.1000000000000001</v>
      </c>
      <c r="Z42">
        <f t="shared" si="17"/>
        <v>1.2</v>
      </c>
      <c r="AA42">
        <f>SQRT((LN(V42))^2+LN(W42)^2+LN(X42)^2+LN(Y42)^2+LN(Z42)^2)/2</f>
        <v>0.26134719937413325</v>
      </c>
      <c r="AB42">
        <f>LN(-D42)</f>
        <v>-8.2940496401020276</v>
      </c>
    </row>
    <row r="43" spans="1:30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2">
      <c r="A44" t="s">
        <v>2</v>
      </c>
      <c r="B44" t="s">
        <v>51</v>
      </c>
    </row>
    <row r="45" spans="1:30" x14ac:dyDescent="0.2">
      <c r="A45" t="s">
        <v>3</v>
      </c>
      <c r="B45" t="str">
        <f>B44</f>
        <v>Geothermal heat</v>
      </c>
    </row>
    <row r="46" spans="1:30" ht="14" customHeight="1" x14ac:dyDescent="0.2">
      <c r="A46" t="s">
        <v>4</v>
      </c>
      <c r="B46" t="s">
        <v>52</v>
      </c>
    </row>
    <row r="47" spans="1:30" x14ac:dyDescent="0.2">
      <c r="A47" t="s">
        <v>5</v>
      </c>
      <c r="B47" t="s">
        <v>40</v>
      </c>
    </row>
    <row r="48" spans="1:30" x14ac:dyDescent="0.2">
      <c r="A48" t="s">
        <v>6</v>
      </c>
      <c r="B48">
        <v>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4"/>
      <c r="AC48" s="3"/>
    </row>
    <row r="49" spans="1:30" x14ac:dyDescent="0.2">
      <c r="A49" t="s">
        <v>7</v>
      </c>
      <c r="B49" t="s">
        <v>53</v>
      </c>
    </row>
    <row r="50" spans="1:30" x14ac:dyDescent="0.2">
      <c r="A50" t="s">
        <v>9</v>
      </c>
      <c r="W50">
        <v>0</v>
      </c>
      <c r="X50">
        <v>1</v>
      </c>
      <c r="Y50">
        <v>2</v>
      </c>
      <c r="Z50">
        <v>3</v>
      </c>
      <c r="AA50">
        <v>4</v>
      </c>
    </row>
    <row r="51" spans="1:30" x14ac:dyDescent="0.2">
      <c r="A51" t="s">
        <v>10</v>
      </c>
      <c r="B51" t="s">
        <v>3</v>
      </c>
      <c r="C51" t="s">
        <v>5</v>
      </c>
      <c r="D51" t="s">
        <v>6</v>
      </c>
      <c r="E51" t="s">
        <v>7</v>
      </c>
      <c r="F51" t="s">
        <v>1</v>
      </c>
      <c r="G51" t="s">
        <v>11</v>
      </c>
      <c r="H51" t="s">
        <v>12</v>
      </c>
      <c r="I51" t="s">
        <v>21</v>
      </c>
      <c r="J51" t="s">
        <v>22</v>
      </c>
      <c r="K51" t="s">
        <v>23</v>
      </c>
      <c r="L51" t="s">
        <v>24</v>
      </c>
      <c r="M51" t="s">
        <v>25</v>
      </c>
      <c r="P51" s="3" t="s">
        <v>27</v>
      </c>
      <c r="Q51" s="3" t="s">
        <v>28</v>
      </c>
      <c r="R51" s="3" t="s">
        <v>29</v>
      </c>
      <c r="S51" s="3" t="s">
        <v>30</v>
      </c>
      <c r="T51" s="3" t="s">
        <v>31</v>
      </c>
      <c r="U51" s="3"/>
      <c r="V51" s="3" t="s">
        <v>27</v>
      </c>
      <c r="W51" s="3" t="s">
        <v>28</v>
      </c>
      <c r="X51" s="3" t="s">
        <v>29</v>
      </c>
      <c r="Y51" s="3" t="s">
        <v>30</v>
      </c>
      <c r="Z51" s="3" t="s">
        <v>31</v>
      </c>
      <c r="AA51" s="3" t="s">
        <v>61</v>
      </c>
      <c r="AB51" s="4" t="s">
        <v>32</v>
      </c>
    </row>
    <row r="52" spans="1:30" x14ac:dyDescent="0.2">
      <c r="A52" t="str">
        <f>B45</f>
        <v>Geothermal heat</v>
      </c>
      <c r="B52" t="str">
        <f>A52</f>
        <v>Geothermal heat</v>
      </c>
      <c r="C52" t="s">
        <v>40</v>
      </c>
      <c r="D52">
        <v>3.6</v>
      </c>
      <c r="E52" t="s">
        <v>53</v>
      </c>
      <c r="F52" t="s">
        <v>37</v>
      </c>
      <c r="G52" t="s">
        <v>13</v>
      </c>
    </row>
    <row r="53" spans="1:30" x14ac:dyDescent="0.2">
      <c r="A53" t="s">
        <v>39</v>
      </c>
      <c r="B53" t="s">
        <v>16</v>
      </c>
      <c r="C53" t="s">
        <v>40</v>
      </c>
      <c r="D53">
        <v>0.15</v>
      </c>
      <c r="E53" t="s">
        <v>18</v>
      </c>
      <c r="F53" t="s">
        <v>60</v>
      </c>
      <c r="G53" t="s">
        <v>14</v>
      </c>
      <c r="I53" s="3">
        <v>2</v>
      </c>
      <c r="J53" s="3">
        <f t="shared" ref="J53" si="18">AB53</f>
        <v>-1.8971199848858813</v>
      </c>
      <c r="K53" s="3">
        <f t="shared" ref="K53" si="19">AA53</f>
        <v>0.46140603110238931</v>
      </c>
      <c r="P53">
        <v>5</v>
      </c>
      <c r="Q53">
        <v>5</v>
      </c>
      <c r="R53">
        <v>5</v>
      </c>
      <c r="S53">
        <v>5</v>
      </c>
      <c r="T53">
        <v>5</v>
      </c>
      <c r="V53">
        <f>+VLOOKUP(P53, $O$2:$T$7, 2+W$50,0)</f>
        <v>1.5</v>
      </c>
      <c r="W53">
        <f t="shared" ref="W53:Z53" si="20">+VLOOKUP(Q53, $O$2:$T$7, 2+X$50,0)</f>
        <v>1.2</v>
      </c>
      <c r="X53">
        <f t="shared" si="20"/>
        <v>1.5</v>
      </c>
      <c r="Y53">
        <f t="shared" si="20"/>
        <v>1.1000000000000001</v>
      </c>
      <c r="Z53">
        <f t="shared" si="20"/>
        <v>2</v>
      </c>
      <c r="AA53">
        <f>SQRT((LN(V53))^2+LN(W53)^2+LN(X53)^2+LN(Y53)^2+LN(Z53)^2)/2</f>
        <v>0.46140603110238931</v>
      </c>
      <c r="AB53">
        <f>LN(D53)</f>
        <v>-1.8971199848858813</v>
      </c>
    </row>
    <row r="54" spans="1:30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2">
      <c r="A55" t="s">
        <v>2</v>
      </c>
      <c r="B55" t="s">
        <v>51</v>
      </c>
    </row>
    <row r="56" spans="1:30" x14ac:dyDescent="0.2">
      <c r="A56" t="s">
        <v>3</v>
      </c>
      <c r="B56" t="str">
        <f>B55</f>
        <v>Geothermal heat</v>
      </c>
    </row>
    <row r="57" spans="1:30" x14ac:dyDescent="0.2">
      <c r="A57" t="s">
        <v>4</v>
      </c>
      <c r="B57" t="s">
        <v>54</v>
      </c>
    </row>
    <row r="58" spans="1:30" ht="14" customHeight="1" x14ac:dyDescent="0.2">
      <c r="A58" t="s">
        <v>5</v>
      </c>
      <c r="B58" t="s">
        <v>44</v>
      </c>
    </row>
    <row r="59" spans="1:30" x14ac:dyDescent="0.2">
      <c r="A59" t="s">
        <v>6</v>
      </c>
      <c r="B59">
        <v>1</v>
      </c>
    </row>
    <row r="60" spans="1:30" x14ac:dyDescent="0.2">
      <c r="A60" t="s">
        <v>7</v>
      </c>
      <c r="B60" t="s">
        <v>53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4"/>
      <c r="AC60" s="3"/>
    </row>
    <row r="61" spans="1:30" x14ac:dyDescent="0.2">
      <c r="A61" t="s">
        <v>9</v>
      </c>
      <c r="W61">
        <v>0</v>
      </c>
      <c r="X61">
        <v>1</v>
      </c>
      <c r="Y61">
        <v>2</v>
      </c>
      <c r="Z61">
        <v>3</v>
      </c>
      <c r="AA61">
        <v>4</v>
      </c>
    </row>
    <row r="62" spans="1:30" x14ac:dyDescent="0.2">
      <c r="A62" t="s">
        <v>10</v>
      </c>
      <c r="B62" t="s">
        <v>3</v>
      </c>
      <c r="C62" t="s">
        <v>5</v>
      </c>
      <c r="D62" t="s">
        <v>6</v>
      </c>
      <c r="E62" t="s">
        <v>7</v>
      </c>
      <c r="F62" t="s">
        <v>1</v>
      </c>
      <c r="G62" t="s">
        <v>11</v>
      </c>
      <c r="H62" t="s">
        <v>12</v>
      </c>
      <c r="I62" t="s">
        <v>21</v>
      </c>
      <c r="J62" t="s">
        <v>22</v>
      </c>
      <c r="K62" t="s">
        <v>23</v>
      </c>
      <c r="L62" t="s">
        <v>24</v>
      </c>
      <c r="M62" t="s">
        <v>25</v>
      </c>
      <c r="P62" s="3" t="s">
        <v>27</v>
      </c>
      <c r="Q62" s="3" t="s">
        <v>28</v>
      </c>
      <c r="R62" s="3" t="s">
        <v>29</v>
      </c>
      <c r="S62" s="3" t="s">
        <v>30</v>
      </c>
      <c r="T62" s="3" t="s">
        <v>31</v>
      </c>
      <c r="U62" s="3"/>
      <c r="V62" s="3" t="s">
        <v>27</v>
      </c>
      <c r="W62" s="3" t="s">
        <v>28</v>
      </c>
      <c r="X62" s="3" t="s">
        <v>29</v>
      </c>
      <c r="Y62" s="3" t="s">
        <v>30</v>
      </c>
      <c r="Z62" s="3" t="s">
        <v>31</v>
      </c>
      <c r="AA62" s="3" t="s">
        <v>61</v>
      </c>
      <c r="AB62" s="4" t="s">
        <v>32</v>
      </c>
    </row>
    <row r="63" spans="1:30" x14ac:dyDescent="0.2">
      <c r="A63" t="str">
        <f>B56</f>
        <v>Geothermal heat</v>
      </c>
      <c r="B63" t="str">
        <f>A63</f>
        <v>Geothermal heat</v>
      </c>
      <c r="C63" t="s">
        <v>44</v>
      </c>
      <c r="D63">
        <v>3.6</v>
      </c>
      <c r="E63" t="s">
        <v>53</v>
      </c>
      <c r="F63" t="s">
        <v>37</v>
      </c>
      <c r="G63" t="s">
        <v>13</v>
      </c>
    </row>
    <row r="64" spans="1:30" x14ac:dyDescent="0.2">
      <c r="A64" t="s">
        <v>39</v>
      </c>
      <c r="B64" t="s">
        <v>16</v>
      </c>
      <c r="C64" t="s">
        <v>44</v>
      </c>
      <c r="D64">
        <v>0.15</v>
      </c>
      <c r="E64" t="s">
        <v>18</v>
      </c>
      <c r="F64" t="s">
        <v>60</v>
      </c>
      <c r="G64" t="s">
        <v>14</v>
      </c>
      <c r="I64" s="3">
        <v>2</v>
      </c>
      <c r="J64" s="3">
        <f t="shared" ref="J64" si="21">AB64</f>
        <v>-1.8971199848858813</v>
      </c>
      <c r="K64" s="3">
        <f t="shared" ref="K64" si="22">AA64</f>
        <v>0.46140603110238931</v>
      </c>
      <c r="P64">
        <v>5</v>
      </c>
      <c r="Q64">
        <v>5</v>
      </c>
      <c r="R64">
        <v>5</v>
      </c>
      <c r="S64">
        <v>5</v>
      </c>
      <c r="T64">
        <v>5</v>
      </c>
      <c r="V64">
        <f>+VLOOKUP(P64, $O$2:$T$7, 2+W$61,0)</f>
        <v>1.5</v>
      </c>
      <c r="W64">
        <f t="shared" ref="W64:Z64" si="23">+VLOOKUP(Q64, $O$2:$T$7, 2+X$61,0)</f>
        <v>1.2</v>
      </c>
      <c r="X64">
        <f t="shared" si="23"/>
        <v>1.5</v>
      </c>
      <c r="Y64">
        <f t="shared" si="23"/>
        <v>1.1000000000000001</v>
      </c>
      <c r="Z64">
        <f t="shared" si="23"/>
        <v>2</v>
      </c>
      <c r="AA64">
        <f>SQRT((LN(V64))^2+LN(W64)^2+LN(X64)^2+LN(Y64)^2+LN(Z64)^2)/2</f>
        <v>0.46140603110238931</v>
      </c>
      <c r="AB64">
        <f>LN(D64)</f>
        <v>-1.8971199848858813</v>
      </c>
    </row>
    <row r="65" spans="1:30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2">
      <c r="A66" t="s">
        <v>2</v>
      </c>
      <c r="B66" t="s">
        <v>55</v>
      </c>
    </row>
    <row r="67" spans="1:30" x14ac:dyDescent="0.2">
      <c r="A67" t="s">
        <v>3</v>
      </c>
      <c r="B67" t="str">
        <f>B66</f>
        <v>Water_DE_m</v>
      </c>
    </row>
    <row r="68" spans="1:30" x14ac:dyDescent="0.2">
      <c r="A68" t="s">
        <v>4</v>
      </c>
      <c r="B68" t="s">
        <v>56</v>
      </c>
    </row>
    <row r="69" spans="1:30" x14ac:dyDescent="0.2">
      <c r="A69" t="s">
        <v>5</v>
      </c>
      <c r="B69" t="s">
        <v>44</v>
      </c>
    </row>
    <row r="70" spans="1:30" x14ac:dyDescent="0.2">
      <c r="A70" t="s">
        <v>6</v>
      </c>
      <c r="B70">
        <v>1</v>
      </c>
    </row>
    <row r="71" spans="1:30" x14ac:dyDescent="0.2">
      <c r="A71" t="s">
        <v>7</v>
      </c>
      <c r="B71" t="s">
        <v>8</v>
      </c>
    </row>
    <row r="72" spans="1:30" x14ac:dyDescent="0.2">
      <c r="A72" t="s">
        <v>9</v>
      </c>
      <c r="W72">
        <v>0</v>
      </c>
      <c r="X72">
        <v>1</v>
      </c>
      <c r="Y72">
        <v>2</v>
      </c>
      <c r="Z72">
        <v>3</v>
      </c>
      <c r="AA72">
        <v>4</v>
      </c>
      <c r="AC72" s="3"/>
    </row>
    <row r="73" spans="1:30" x14ac:dyDescent="0.2">
      <c r="A73" t="s">
        <v>10</v>
      </c>
      <c r="B73" t="s">
        <v>3</v>
      </c>
      <c r="C73" t="s">
        <v>5</v>
      </c>
      <c r="D73" t="s">
        <v>6</v>
      </c>
      <c r="E73" t="s">
        <v>7</v>
      </c>
      <c r="F73" t="s">
        <v>1</v>
      </c>
      <c r="G73" t="s">
        <v>11</v>
      </c>
      <c r="H73" t="s">
        <v>12</v>
      </c>
      <c r="I73" t="s">
        <v>21</v>
      </c>
      <c r="J73" t="s">
        <v>22</v>
      </c>
      <c r="K73" t="s">
        <v>23</v>
      </c>
      <c r="L73" t="s">
        <v>24</v>
      </c>
      <c r="M73" t="s">
        <v>25</v>
      </c>
      <c r="P73" s="3" t="s">
        <v>27</v>
      </c>
      <c r="Q73" s="3" t="s">
        <v>28</v>
      </c>
      <c r="R73" s="3" t="s">
        <v>29</v>
      </c>
      <c r="S73" s="3" t="s">
        <v>30</v>
      </c>
      <c r="T73" s="3" t="s">
        <v>31</v>
      </c>
      <c r="U73" s="3"/>
      <c r="V73" s="3" t="s">
        <v>27</v>
      </c>
      <c r="W73" s="3" t="s">
        <v>28</v>
      </c>
      <c r="X73" s="3" t="s">
        <v>29</v>
      </c>
      <c r="Y73" s="3" t="s">
        <v>30</v>
      </c>
      <c r="Z73" s="3" t="s">
        <v>31</v>
      </c>
      <c r="AA73" s="3" t="s">
        <v>61</v>
      </c>
      <c r="AB73" s="4" t="s">
        <v>32</v>
      </c>
    </row>
    <row r="74" spans="1:30" x14ac:dyDescent="0.2">
      <c r="A74" t="str">
        <f>B67</f>
        <v>Water_DE_m</v>
      </c>
      <c r="B74" t="str">
        <f>B67</f>
        <v>Water_DE_m</v>
      </c>
      <c r="C74" t="s">
        <v>44</v>
      </c>
      <c r="D74">
        <v>1</v>
      </c>
      <c r="E74" t="s">
        <v>17</v>
      </c>
      <c r="F74" t="s">
        <v>37</v>
      </c>
      <c r="G74" t="s">
        <v>13</v>
      </c>
    </row>
    <row r="75" spans="1:30" x14ac:dyDescent="0.2">
      <c r="A75" t="s">
        <v>50</v>
      </c>
      <c r="B75" t="s">
        <v>16</v>
      </c>
      <c r="C75" t="s">
        <v>44</v>
      </c>
      <c r="D75">
        <v>7.2059999999999997E-3</v>
      </c>
      <c r="E75" t="s">
        <v>18</v>
      </c>
      <c r="F75" t="s">
        <v>60</v>
      </c>
      <c r="G75" t="s">
        <v>14</v>
      </c>
      <c r="I75" s="3">
        <v>2</v>
      </c>
      <c r="J75" s="3">
        <f t="shared" ref="J75:J77" si="24">AB75</f>
        <v>-4.9328412666562356</v>
      </c>
      <c r="K75" s="3">
        <f t="shared" ref="K75:K77" si="25">AA75</f>
        <v>0.26134719937413325</v>
      </c>
      <c r="P75">
        <v>4</v>
      </c>
      <c r="Q75">
        <v>5</v>
      </c>
      <c r="R75">
        <v>5</v>
      </c>
      <c r="S75">
        <v>5</v>
      </c>
      <c r="T75">
        <v>3</v>
      </c>
      <c r="V75">
        <f>+VLOOKUP(P75, $O$2:$T$7, 2+W$72,0)</f>
        <v>1.2</v>
      </c>
      <c r="W75">
        <f t="shared" ref="W75:Z75" si="26">+VLOOKUP(Q75, $O$2:$T$7, 2+X$72,0)</f>
        <v>1.2</v>
      </c>
      <c r="X75">
        <f t="shared" si="26"/>
        <v>1.5</v>
      </c>
      <c r="Y75">
        <f t="shared" si="26"/>
        <v>1.1000000000000001</v>
      </c>
      <c r="Z75">
        <f t="shared" si="26"/>
        <v>1.2</v>
      </c>
      <c r="AA75">
        <f>SQRT((LN(V75))^2+LN(W75)^2+LN(X75)^2+LN(Y75)^2+LN(Z75)^2)/2</f>
        <v>0.26134719937413325</v>
      </c>
      <c r="AB75">
        <f>LN(D75)</f>
        <v>-4.9328412666562356</v>
      </c>
    </row>
    <row r="76" spans="1:30" x14ac:dyDescent="0.2">
      <c r="A76" t="s">
        <v>35</v>
      </c>
      <c r="D76">
        <v>2.5000000000000001E-4</v>
      </c>
      <c r="E76" t="s">
        <v>20</v>
      </c>
      <c r="F76" t="s">
        <v>34</v>
      </c>
      <c r="G76" t="s">
        <v>19</v>
      </c>
      <c r="H76" t="s">
        <v>36</v>
      </c>
      <c r="I76" s="3">
        <v>2</v>
      </c>
      <c r="J76" s="3">
        <f t="shared" si="24"/>
        <v>-8.2940496401020276</v>
      </c>
      <c r="K76" s="3">
        <f t="shared" si="25"/>
        <v>0.26134719937413325</v>
      </c>
      <c r="P76">
        <v>4</v>
      </c>
      <c r="Q76">
        <v>5</v>
      </c>
      <c r="R76">
        <v>5</v>
      </c>
      <c r="S76">
        <v>5</v>
      </c>
      <c r="T76">
        <v>3</v>
      </c>
      <c r="V76">
        <f t="shared" ref="V76:V77" si="27">+VLOOKUP(P76, $O$2:$T$7, 2+W$72,0)</f>
        <v>1.2</v>
      </c>
      <c r="W76">
        <f t="shared" ref="W76:W77" si="28">+VLOOKUP(Q76, $O$2:$T$7, 2+X$72,0)</f>
        <v>1.2</v>
      </c>
      <c r="X76">
        <f t="shared" ref="X76:X77" si="29">+VLOOKUP(R76, $O$2:$T$7, 2+Y$72,0)</f>
        <v>1.5</v>
      </c>
      <c r="Y76">
        <f>+VLOOKUP(S76, $O$2:$T$7, 2+Z$72,0)</f>
        <v>1.1000000000000001</v>
      </c>
      <c r="Z76">
        <f t="shared" ref="Z76:Z77" si="30">+VLOOKUP(T76, $O$2:$T$7, 2+AA$72,0)</f>
        <v>1.2</v>
      </c>
      <c r="AA76">
        <f>SQRT((LN(V76))^2+LN(W76)^2+LN(X76)^2+LN(Y76)^2+LN(Z76)^2)/2</f>
        <v>0.26134719937413325</v>
      </c>
      <c r="AB76">
        <f>LN(D76)</f>
        <v>-8.2940496401020276</v>
      </c>
    </row>
    <row r="77" spans="1:30" x14ac:dyDescent="0.2">
      <c r="A77" t="s">
        <v>41</v>
      </c>
      <c r="B77" t="s">
        <v>42</v>
      </c>
      <c r="C77" t="s">
        <v>15</v>
      </c>
      <c r="D77">
        <v>-2.5000000000000001E-4</v>
      </c>
      <c r="E77" t="s">
        <v>20</v>
      </c>
      <c r="F77" t="s">
        <v>60</v>
      </c>
      <c r="G77" t="s">
        <v>14</v>
      </c>
      <c r="I77" s="3">
        <v>2</v>
      </c>
      <c r="J77" s="3">
        <f t="shared" si="24"/>
        <v>-8.2940496401020276</v>
      </c>
      <c r="K77" s="3">
        <f t="shared" si="25"/>
        <v>0.26134719937413325</v>
      </c>
      <c r="P77">
        <v>4</v>
      </c>
      <c r="Q77">
        <v>5</v>
      </c>
      <c r="R77">
        <v>5</v>
      </c>
      <c r="S77">
        <v>5</v>
      </c>
      <c r="T77">
        <v>3</v>
      </c>
      <c r="V77">
        <f t="shared" si="27"/>
        <v>1.2</v>
      </c>
      <c r="W77">
        <f t="shared" si="28"/>
        <v>1.2</v>
      </c>
      <c r="X77">
        <f t="shared" si="29"/>
        <v>1.5</v>
      </c>
      <c r="Y77">
        <f t="shared" ref="Y77" si="31">+VLOOKUP(S77, $O$2:$T$7, 2+Z$72,0)</f>
        <v>1.1000000000000001</v>
      </c>
      <c r="Z77">
        <f t="shared" si="30"/>
        <v>1.2</v>
      </c>
      <c r="AA77">
        <f>SQRT((LN(V77))^2+LN(W77)^2+LN(X77)^2+LN(Y77)^2+LN(Z77)^2)/2</f>
        <v>0.26134719937413325</v>
      </c>
      <c r="AB77">
        <f>LN(-D77)</f>
        <v>-8.2940496401020276</v>
      </c>
    </row>
    <row r="78" spans="1:30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81" spans="16:29" ht="14" customHeight="1" x14ac:dyDescent="0.2"/>
    <row r="83" spans="16:29" x14ac:dyDescent="0.2"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4"/>
      <c r="AC83" s="3"/>
    </row>
    <row r="95" spans="16:29" x14ac:dyDescent="0.2"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4"/>
      <c r="AC95" s="3"/>
    </row>
    <row r="107" spans="16:29" x14ac:dyDescent="0.2"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4"/>
      <c r="AC107" s="3"/>
    </row>
    <row r="117" spans="2:29" ht="14" customHeight="1" x14ac:dyDescent="0.2"/>
    <row r="119" spans="2:29" x14ac:dyDescent="0.2"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4"/>
      <c r="AC119" s="3"/>
    </row>
    <row r="121" spans="2:29" x14ac:dyDescent="0.2">
      <c r="B121" s="5"/>
    </row>
  </sheetData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Schenker</dc:creator>
  <cp:lastModifiedBy>Lorenz  Sandro (IfU, ESD)</cp:lastModifiedBy>
  <dcterms:created xsi:type="dcterms:W3CDTF">2020-06-19T12:59:27Z</dcterms:created>
  <dcterms:modified xsi:type="dcterms:W3CDTF">2024-10-14T12:41:15Z</dcterms:modified>
</cp:coreProperties>
</file>